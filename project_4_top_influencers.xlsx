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d615aaf63cd41801/Desktop/"/>
    </mc:Choice>
  </mc:AlternateContent>
  <xr:revisionPtr revIDLastSave="0" documentId="8_{E24559DB-4855-4013-80DC-472AD01F6310}" xr6:coauthVersionLast="47" xr6:coauthVersionMax="47" xr10:uidLastSave="{00000000-0000-0000-0000-000000000000}"/>
  <bookViews>
    <workbookView xWindow="-108" yWindow="-108" windowWidth="23256" windowHeight="12456" xr2:uid="{8BE2D77F-3086-4C13-81CA-97EF3ED63B55}"/>
  </bookViews>
  <sheets>
    <sheet name="Dashboard" sheetId="7" r:id="rId1"/>
    <sheet name="Influence Score" sheetId="2" r:id="rId2"/>
    <sheet name="Followers&amp;Engagement by Country" sheetId="3" r:id="rId3"/>
    <sheet name="Average Likes vs Followers" sheetId="4" r:id="rId4"/>
    <sheet name="Growth in Likes by Influencer" sheetId="5" r:id="rId5"/>
    <sheet name="top_insta_influencers_data" sheetId="1" r:id="rId6"/>
  </sheets>
  <definedNames>
    <definedName name="Slicer_channel_info">#N/A</definedName>
    <definedName name="Slicer_countr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F2" i="1" l="1"/>
  <c r="S2" i="1" s="1"/>
  <c r="F3" i="1"/>
  <c r="F4" i="1"/>
  <c r="H4" i="1" s="1"/>
  <c r="Q4" i="1" s="1"/>
  <c r="F5" i="1"/>
  <c r="H5" i="1" s="1"/>
  <c r="Q5" i="1" s="1"/>
  <c r="F6" i="1"/>
  <c r="H6" i="1" s="1"/>
  <c r="Q6" i="1" s="1"/>
  <c r="F7" i="1"/>
  <c r="F8" i="1"/>
  <c r="F9" i="1"/>
  <c r="F10" i="1"/>
  <c r="S10" i="1" s="1"/>
  <c r="F11" i="1"/>
  <c r="F12" i="1"/>
  <c r="P12" i="1" s="1"/>
  <c r="F13" i="1"/>
  <c r="P13" i="1" s="1"/>
  <c r="F14" i="1"/>
  <c r="S14" i="1" s="1"/>
  <c r="F15" i="1"/>
  <c r="F16" i="1"/>
  <c r="F17" i="1"/>
  <c r="F18" i="1"/>
  <c r="S18" i="1" s="1"/>
  <c r="F19" i="1"/>
  <c r="F20" i="1"/>
  <c r="F21" i="1"/>
  <c r="P21" i="1" s="1"/>
  <c r="F22" i="1"/>
  <c r="P22" i="1" s="1"/>
  <c r="F23" i="1"/>
  <c r="F24" i="1"/>
  <c r="F25" i="1"/>
  <c r="F26" i="1"/>
  <c r="S26" i="1" s="1"/>
  <c r="F27" i="1"/>
  <c r="F28" i="1"/>
  <c r="H28" i="1" s="1"/>
  <c r="Q28" i="1" s="1"/>
  <c r="F29" i="1"/>
  <c r="R29" i="1" s="1"/>
  <c r="F30" i="1"/>
  <c r="P30" i="1" s="1"/>
  <c r="F31" i="1"/>
  <c r="F32" i="1"/>
  <c r="F33" i="1"/>
  <c r="F34" i="1"/>
  <c r="S34" i="1" s="1"/>
  <c r="F35" i="1"/>
  <c r="R35" i="1" s="1"/>
  <c r="F36" i="1"/>
  <c r="S36" i="1" s="1"/>
  <c r="F37" i="1"/>
  <c r="R37" i="1" s="1"/>
  <c r="F38" i="1"/>
  <c r="H38" i="1" s="1"/>
  <c r="Q38" i="1" s="1"/>
  <c r="F39" i="1"/>
  <c r="F40" i="1"/>
  <c r="F41" i="1"/>
  <c r="F42" i="1"/>
  <c r="S42" i="1" s="1"/>
  <c r="F43" i="1"/>
  <c r="F44" i="1"/>
  <c r="H44" i="1" s="1"/>
  <c r="Q44" i="1" s="1"/>
  <c r="F45" i="1"/>
  <c r="S45" i="1" s="1"/>
  <c r="F46" i="1"/>
  <c r="S46" i="1" s="1"/>
  <c r="F47" i="1"/>
  <c r="F48" i="1"/>
  <c r="F49" i="1"/>
  <c r="F50" i="1"/>
  <c r="S50" i="1" s="1"/>
  <c r="F51" i="1"/>
  <c r="F52" i="1"/>
  <c r="H52" i="1" s="1"/>
  <c r="Q52" i="1" s="1"/>
  <c r="F53" i="1"/>
  <c r="H53" i="1" s="1"/>
  <c r="Q53" i="1" s="1"/>
  <c r="F54" i="1"/>
  <c r="H54" i="1" s="1"/>
  <c r="Q54" i="1" s="1"/>
  <c r="F55" i="1"/>
  <c r="F56" i="1"/>
  <c r="F57" i="1"/>
  <c r="F58" i="1"/>
  <c r="S58" i="1" s="1"/>
  <c r="F59" i="1"/>
  <c r="F60" i="1"/>
  <c r="R60" i="1" s="1"/>
  <c r="F61" i="1"/>
  <c r="R61" i="1" s="1"/>
  <c r="F62" i="1"/>
  <c r="R62" i="1" s="1"/>
  <c r="F63" i="1"/>
  <c r="F64" i="1"/>
  <c r="F65" i="1"/>
  <c r="F66" i="1"/>
  <c r="S66" i="1" s="1"/>
  <c r="F67" i="1"/>
  <c r="F68" i="1"/>
  <c r="P68" i="1" s="1"/>
  <c r="F69" i="1"/>
  <c r="R69" i="1" s="1"/>
  <c r="F70" i="1"/>
  <c r="R70" i="1" s="1"/>
  <c r="F71" i="1"/>
  <c r="F72" i="1"/>
  <c r="F73" i="1"/>
  <c r="F74" i="1"/>
  <c r="S74" i="1" s="1"/>
  <c r="F75" i="1"/>
  <c r="F76" i="1"/>
  <c r="P76" i="1" s="1"/>
  <c r="F77" i="1"/>
  <c r="S77" i="1" s="1"/>
  <c r="F78" i="1"/>
  <c r="S78" i="1" s="1"/>
  <c r="F79" i="1"/>
  <c r="F80" i="1"/>
  <c r="F81" i="1"/>
  <c r="F82" i="1"/>
  <c r="S82" i="1" s="1"/>
  <c r="F83" i="1"/>
  <c r="F84" i="1"/>
  <c r="F85" i="1"/>
  <c r="P85" i="1" s="1"/>
  <c r="F86" i="1"/>
  <c r="P86" i="1" s="1"/>
  <c r="F87" i="1"/>
  <c r="F88" i="1"/>
  <c r="F89" i="1"/>
  <c r="F90" i="1"/>
  <c r="S90" i="1" s="1"/>
  <c r="F91" i="1"/>
  <c r="F92" i="1"/>
  <c r="R92" i="1" s="1"/>
  <c r="F93" i="1"/>
  <c r="R93" i="1" s="1"/>
  <c r="F94" i="1"/>
  <c r="P94" i="1" s="1"/>
  <c r="F95" i="1"/>
  <c r="F96" i="1"/>
  <c r="F97" i="1"/>
  <c r="F98" i="1"/>
  <c r="S98" i="1" s="1"/>
  <c r="F99" i="1"/>
  <c r="F100" i="1"/>
  <c r="S100" i="1" s="1"/>
  <c r="F101" i="1"/>
  <c r="R101" i="1" s="1"/>
  <c r="F102" i="1"/>
  <c r="R102" i="1" s="1"/>
  <c r="F103" i="1"/>
  <c r="F104" i="1"/>
  <c r="F105" i="1"/>
  <c r="F106" i="1"/>
  <c r="S106" i="1" s="1"/>
  <c r="F107" i="1"/>
  <c r="F108" i="1"/>
  <c r="F109" i="1"/>
  <c r="S109" i="1" s="1"/>
  <c r="F110" i="1"/>
  <c r="S110" i="1" s="1"/>
  <c r="F111" i="1"/>
  <c r="F112" i="1"/>
  <c r="F113" i="1"/>
  <c r="F114" i="1"/>
  <c r="S114" i="1" s="1"/>
  <c r="F115" i="1"/>
  <c r="F116" i="1"/>
  <c r="F117" i="1"/>
  <c r="F118" i="1"/>
  <c r="F119" i="1"/>
  <c r="F120" i="1"/>
  <c r="F121" i="1"/>
  <c r="F122" i="1"/>
  <c r="S122" i="1" s="1"/>
  <c r="F123" i="1"/>
  <c r="S123" i="1" s="1"/>
  <c r="F124" i="1"/>
  <c r="F125" i="1"/>
  <c r="F126" i="1"/>
  <c r="F127" i="1"/>
  <c r="F128" i="1"/>
  <c r="F129" i="1"/>
  <c r="F130" i="1"/>
  <c r="S130" i="1" s="1"/>
  <c r="F131" i="1"/>
  <c r="S131" i="1" s="1"/>
  <c r="F132" i="1"/>
  <c r="P132" i="1" s="1"/>
  <c r="F133" i="1"/>
  <c r="S133" i="1" s="1"/>
  <c r="F134" i="1"/>
  <c r="S134" i="1" s="1"/>
  <c r="F135" i="1"/>
  <c r="F136" i="1"/>
  <c r="F137" i="1"/>
  <c r="F138" i="1"/>
  <c r="S138" i="1" s="1"/>
  <c r="F139" i="1"/>
  <c r="S139" i="1" s="1"/>
  <c r="F140" i="1"/>
  <c r="R140" i="1" s="1"/>
  <c r="F141" i="1"/>
  <c r="S141" i="1" s="1"/>
  <c r="F142" i="1"/>
  <c r="R142" i="1" s="1"/>
  <c r="F143" i="1"/>
  <c r="F144" i="1"/>
  <c r="F145" i="1"/>
  <c r="F146" i="1"/>
  <c r="S146" i="1" s="1"/>
  <c r="F147" i="1"/>
  <c r="S147" i="1" s="1"/>
  <c r="F148" i="1"/>
  <c r="F149" i="1"/>
  <c r="R149" i="1" s="1"/>
  <c r="F150" i="1"/>
  <c r="P150" i="1" s="1"/>
  <c r="F151" i="1"/>
  <c r="F152" i="1"/>
  <c r="F153" i="1"/>
  <c r="F154" i="1"/>
  <c r="S154" i="1" s="1"/>
  <c r="F155" i="1"/>
  <c r="S155" i="1" s="1"/>
  <c r="F156" i="1"/>
  <c r="F157" i="1"/>
  <c r="F158" i="1"/>
  <c r="R158" i="1" s="1"/>
  <c r="F159" i="1"/>
  <c r="F160" i="1"/>
  <c r="F161" i="1"/>
  <c r="F162" i="1"/>
  <c r="S162" i="1" s="1"/>
  <c r="F163" i="1"/>
  <c r="S163" i="1" s="1"/>
  <c r="F164" i="1"/>
  <c r="S164" i="1" s="1"/>
  <c r="F165" i="1"/>
  <c r="S165" i="1" s="1"/>
  <c r="F166" i="1"/>
  <c r="S166" i="1" s="1"/>
  <c r="F167" i="1"/>
  <c r="F168" i="1"/>
  <c r="F169" i="1"/>
  <c r="F170" i="1"/>
  <c r="S170" i="1" s="1"/>
  <c r="F171" i="1"/>
  <c r="S171" i="1" s="1"/>
  <c r="F172" i="1"/>
  <c r="F173" i="1"/>
  <c r="S173" i="1" s="1"/>
  <c r="F174" i="1"/>
  <c r="S174" i="1" s="1"/>
  <c r="F175" i="1"/>
  <c r="F176" i="1"/>
  <c r="F177" i="1"/>
  <c r="F178" i="1"/>
  <c r="S178" i="1" s="1"/>
  <c r="F179" i="1"/>
  <c r="S179" i="1" s="1"/>
  <c r="F180" i="1"/>
  <c r="F181" i="1"/>
  <c r="F182" i="1"/>
  <c r="F183" i="1"/>
  <c r="F184" i="1"/>
  <c r="F185" i="1"/>
  <c r="F186" i="1"/>
  <c r="S186" i="1" s="1"/>
  <c r="F187" i="1"/>
  <c r="S187" i="1" s="1"/>
  <c r="F188" i="1"/>
  <c r="F189" i="1"/>
  <c r="F190" i="1"/>
  <c r="F191" i="1"/>
  <c r="F192" i="1"/>
  <c r="F193" i="1"/>
  <c r="F194" i="1"/>
  <c r="S194" i="1" s="1"/>
  <c r="F195" i="1"/>
  <c r="S195" i="1" s="1"/>
  <c r="F196" i="1"/>
  <c r="S196" i="1" s="1"/>
  <c r="F197" i="1"/>
  <c r="R197" i="1" s="1"/>
  <c r="F198" i="1"/>
  <c r="S198" i="1" s="1"/>
  <c r="F199" i="1"/>
  <c r="F200" i="1"/>
  <c r="F20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 i="1"/>
  <c r="S7" i="1"/>
  <c r="S8" i="1"/>
  <c r="S9" i="1"/>
  <c r="S12" i="1"/>
  <c r="S13" i="1"/>
  <c r="S15" i="1"/>
  <c r="S16" i="1"/>
  <c r="S17" i="1"/>
  <c r="S20" i="1"/>
  <c r="S21" i="1"/>
  <c r="S22" i="1"/>
  <c r="S23" i="1"/>
  <c r="S24" i="1"/>
  <c r="S25" i="1"/>
  <c r="S28" i="1"/>
  <c r="S29" i="1"/>
  <c r="S30" i="1"/>
  <c r="S31" i="1"/>
  <c r="S32" i="1"/>
  <c r="S33" i="1"/>
  <c r="S39" i="1"/>
  <c r="S40" i="1"/>
  <c r="S41" i="1"/>
  <c r="S44" i="1"/>
  <c r="S47" i="1"/>
  <c r="S48" i="1"/>
  <c r="S49" i="1"/>
  <c r="S52" i="1"/>
  <c r="S53" i="1"/>
  <c r="S54" i="1"/>
  <c r="S55" i="1"/>
  <c r="S56" i="1"/>
  <c r="S57" i="1"/>
  <c r="S60" i="1"/>
  <c r="S61" i="1"/>
  <c r="S62" i="1"/>
  <c r="S63" i="1"/>
  <c r="S64" i="1"/>
  <c r="S65" i="1"/>
  <c r="S71" i="1"/>
  <c r="S72" i="1"/>
  <c r="S73" i="1"/>
  <c r="S76" i="1"/>
  <c r="S79" i="1"/>
  <c r="S80" i="1"/>
  <c r="S81" i="1"/>
  <c r="S84" i="1"/>
  <c r="S85" i="1"/>
  <c r="S86" i="1"/>
  <c r="S87" i="1"/>
  <c r="S88" i="1"/>
  <c r="S89" i="1"/>
  <c r="S92" i="1"/>
  <c r="S93" i="1"/>
  <c r="S94" i="1"/>
  <c r="S95" i="1"/>
  <c r="S96" i="1"/>
  <c r="S97" i="1"/>
  <c r="S103" i="1"/>
  <c r="S104" i="1"/>
  <c r="S105" i="1"/>
  <c r="S108" i="1"/>
  <c r="S111" i="1"/>
  <c r="S112" i="1"/>
  <c r="S113" i="1"/>
  <c r="S116" i="1"/>
  <c r="S117" i="1"/>
  <c r="S118" i="1"/>
  <c r="S119" i="1"/>
  <c r="S120" i="1"/>
  <c r="S121" i="1"/>
  <c r="S124" i="1"/>
  <c r="S125" i="1"/>
  <c r="S126" i="1"/>
  <c r="S127" i="1"/>
  <c r="S128" i="1"/>
  <c r="S129" i="1"/>
  <c r="S135" i="1"/>
  <c r="S136" i="1"/>
  <c r="S137" i="1"/>
  <c r="S140" i="1"/>
  <c r="S143" i="1"/>
  <c r="S144" i="1"/>
  <c r="S145" i="1"/>
  <c r="S148" i="1"/>
  <c r="S149" i="1"/>
  <c r="S150" i="1"/>
  <c r="S151" i="1"/>
  <c r="S152" i="1"/>
  <c r="S153" i="1"/>
  <c r="S156" i="1"/>
  <c r="S157" i="1"/>
  <c r="S158" i="1"/>
  <c r="S159" i="1"/>
  <c r="S160" i="1"/>
  <c r="S161" i="1"/>
  <c r="S167" i="1"/>
  <c r="S168" i="1"/>
  <c r="S169" i="1"/>
  <c r="S172" i="1"/>
  <c r="S175" i="1"/>
  <c r="S176" i="1"/>
  <c r="S177" i="1"/>
  <c r="S180" i="1"/>
  <c r="S181" i="1"/>
  <c r="S182" i="1"/>
  <c r="S183" i="1"/>
  <c r="S184" i="1"/>
  <c r="S185" i="1"/>
  <c r="S188" i="1"/>
  <c r="S189" i="1"/>
  <c r="S190" i="1"/>
  <c r="S191" i="1"/>
  <c r="S192" i="1"/>
  <c r="S193" i="1"/>
  <c r="S199" i="1"/>
  <c r="S200" i="1"/>
  <c r="S201" i="1"/>
  <c r="R4" i="1"/>
  <c r="R7" i="1"/>
  <c r="R8" i="1"/>
  <c r="R9" i="1"/>
  <c r="R12" i="1"/>
  <c r="R13" i="1"/>
  <c r="R14" i="1"/>
  <c r="R15" i="1"/>
  <c r="R16" i="1"/>
  <c r="R17" i="1"/>
  <c r="R20" i="1"/>
  <c r="R21" i="1"/>
  <c r="R22" i="1"/>
  <c r="R23" i="1"/>
  <c r="R24" i="1"/>
  <c r="R25" i="1"/>
  <c r="R31" i="1"/>
  <c r="R32" i="1"/>
  <c r="R33" i="1"/>
  <c r="R36" i="1"/>
  <c r="R39" i="1"/>
  <c r="R40" i="1"/>
  <c r="R41" i="1"/>
  <c r="R44" i="1"/>
  <c r="R45" i="1"/>
  <c r="R46" i="1"/>
  <c r="R47" i="1"/>
  <c r="R48" i="1"/>
  <c r="R49" i="1"/>
  <c r="R52" i="1"/>
  <c r="R53" i="1"/>
  <c r="R54" i="1"/>
  <c r="R55" i="1"/>
  <c r="R56" i="1"/>
  <c r="R57" i="1"/>
  <c r="R63" i="1"/>
  <c r="R64" i="1"/>
  <c r="R65" i="1"/>
  <c r="R68" i="1"/>
  <c r="R71" i="1"/>
  <c r="R72" i="1"/>
  <c r="R73" i="1"/>
  <c r="R76" i="1"/>
  <c r="R77" i="1"/>
  <c r="R78" i="1"/>
  <c r="R79" i="1"/>
  <c r="R80" i="1"/>
  <c r="R81" i="1"/>
  <c r="R84" i="1"/>
  <c r="R85" i="1"/>
  <c r="R86" i="1"/>
  <c r="R87" i="1"/>
  <c r="R88" i="1"/>
  <c r="R89" i="1"/>
  <c r="R95" i="1"/>
  <c r="R96" i="1"/>
  <c r="R97" i="1"/>
  <c r="R100" i="1"/>
  <c r="R103" i="1"/>
  <c r="R104" i="1"/>
  <c r="R105" i="1"/>
  <c r="R108" i="1"/>
  <c r="R109" i="1"/>
  <c r="R110" i="1"/>
  <c r="R111" i="1"/>
  <c r="R112" i="1"/>
  <c r="R113" i="1"/>
  <c r="R116" i="1"/>
  <c r="R117" i="1"/>
  <c r="R118" i="1"/>
  <c r="R119" i="1"/>
  <c r="R120" i="1"/>
  <c r="R121" i="1"/>
  <c r="R123" i="1"/>
  <c r="R124" i="1"/>
  <c r="R125" i="1"/>
  <c r="R126" i="1"/>
  <c r="R127" i="1"/>
  <c r="R128" i="1"/>
  <c r="R129" i="1"/>
  <c r="R135" i="1"/>
  <c r="R136" i="1"/>
  <c r="R137" i="1"/>
  <c r="R139" i="1"/>
  <c r="R143" i="1"/>
  <c r="R144" i="1"/>
  <c r="R145" i="1"/>
  <c r="R147" i="1"/>
  <c r="R148" i="1"/>
  <c r="R151" i="1"/>
  <c r="R152" i="1"/>
  <c r="R153" i="1"/>
  <c r="R155" i="1"/>
  <c r="R156" i="1"/>
  <c r="R157" i="1"/>
  <c r="R159" i="1"/>
  <c r="R160" i="1"/>
  <c r="R161" i="1"/>
  <c r="R163" i="1"/>
  <c r="R164" i="1"/>
  <c r="R165" i="1"/>
  <c r="R166" i="1"/>
  <c r="R167" i="1"/>
  <c r="R168" i="1"/>
  <c r="R169" i="1"/>
  <c r="R171" i="1"/>
  <c r="R172" i="1"/>
  <c r="R173" i="1"/>
  <c r="R174" i="1"/>
  <c r="R175" i="1"/>
  <c r="R176" i="1"/>
  <c r="R177" i="1"/>
  <c r="R179" i="1"/>
  <c r="R180" i="1"/>
  <c r="R181" i="1"/>
  <c r="R182" i="1"/>
  <c r="R183" i="1"/>
  <c r="R184" i="1"/>
  <c r="R185" i="1"/>
  <c r="R187" i="1"/>
  <c r="R188" i="1"/>
  <c r="R189" i="1"/>
  <c r="R190" i="1"/>
  <c r="R191" i="1"/>
  <c r="R192" i="1"/>
  <c r="R193" i="1"/>
  <c r="R199" i="1"/>
  <c r="R200" i="1"/>
  <c r="R201" i="1"/>
  <c r="Q15" i="1"/>
  <c r="Q16" i="1"/>
  <c r="Q17" i="1"/>
  <c r="Q19" i="1"/>
  <c r="Q22" i="1"/>
  <c r="Q23" i="1"/>
  <c r="Q25" i="1"/>
  <c r="Q29" i="1"/>
  <c r="Q30" i="1"/>
  <c r="Q31" i="1"/>
  <c r="Q32" i="1"/>
  <c r="Q33" i="1"/>
  <c r="Q34" i="1"/>
  <c r="Q39" i="1"/>
  <c r="Q40" i="1"/>
  <c r="Q41" i="1"/>
  <c r="Q42" i="1"/>
  <c r="Q46" i="1"/>
  <c r="Q47" i="1"/>
  <c r="Q49"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13" i="1"/>
  <c r="Q14" i="1"/>
  <c r="P3" i="1"/>
  <c r="P7" i="1"/>
  <c r="P8" i="1"/>
  <c r="P9" i="1"/>
  <c r="P11" i="1"/>
  <c r="P15" i="1"/>
  <c r="P16" i="1"/>
  <c r="P17" i="1"/>
  <c r="P19" i="1"/>
  <c r="P20" i="1"/>
  <c r="P23" i="1"/>
  <c r="P24" i="1"/>
  <c r="P25" i="1"/>
  <c r="P27" i="1"/>
  <c r="P28" i="1"/>
  <c r="P29" i="1"/>
  <c r="P31" i="1"/>
  <c r="P32" i="1"/>
  <c r="P33" i="1"/>
  <c r="P35" i="1"/>
  <c r="P36" i="1"/>
  <c r="P37" i="1"/>
  <c r="P38" i="1"/>
  <c r="P39" i="1"/>
  <c r="P40" i="1"/>
  <c r="P41" i="1"/>
  <c r="P43" i="1"/>
  <c r="P44" i="1"/>
  <c r="P45" i="1"/>
  <c r="P46" i="1"/>
  <c r="P47" i="1"/>
  <c r="P48" i="1"/>
  <c r="P49" i="1"/>
  <c r="P51" i="1"/>
  <c r="P52" i="1"/>
  <c r="P53" i="1"/>
  <c r="P54" i="1"/>
  <c r="P55" i="1"/>
  <c r="P56" i="1"/>
  <c r="P57" i="1"/>
  <c r="P59" i="1"/>
  <c r="P60" i="1"/>
  <c r="P61" i="1"/>
  <c r="P62" i="1"/>
  <c r="P63" i="1"/>
  <c r="P64" i="1"/>
  <c r="P65" i="1"/>
  <c r="P67" i="1"/>
  <c r="P71" i="1"/>
  <c r="P72" i="1"/>
  <c r="P73" i="1"/>
  <c r="P75" i="1"/>
  <c r="P79" i="1"/>
  <c r="P80" i="1"/>
  <c r="P81" i="1"/>
  <c r="P83" i="1"/>
  <c r="P84" i="1"/>
  <c r="P87" i="1"/>
  <c r="P88" i="1"/>
  <c r="P89" i="1"/>
  <c r="P91" i="1"/>
  <c r="P92" i="1"/>
  <c r="P93" i="1"/>
  <c r="P95" i="1"/>
  <c r="P96" i="1"/>
  <c r="P97" i="1"/>
  <c r="P99" i="1"/>
  <c r="P100" i="1"/>
  <c r="P101" i="1"/>
  <c r="P102" i="1"/>
  <c r="P103" i="1"/>
  <c r="P104" i="1"/>
  <c r="P105" i="1"/>
  <c r="P107" i="1"/>
  <c r="P108" i="1"/>
  <c r="P109" i="1"/>
  <c r="P110" i="1"/>
  <c r="P111" i="1"/>
  <c r="P112" i="1"/>
  <c r="P113" i="1"/>
  <c r="P115" i="1"/>
  <c r="P116" i="1"/>
  <c r="P117" i="1"/>
  <c r="P118" i="1"/>
  <c r="P119" i="1"/>
  <c r="P120" i="1"/>
  <c r="P121" i="1"/>
  <c r="P123" i="1"/>
  <c r="P124" i="1"/>
  <c r="P125" i="1"/>
  <c r="P126" i="1"/>
  <c r="P127" i="1"/>
  <c r="P128" i="1"/>
  <c r="P129" i="1"/>
  <c r="P135" i="1"/>
  <c r="P136" i="1"/>
  <c r="P137" i="1"/>
  <c r="P139" i="1"/>
  <c r="P143" i="1"/>
  <c r="P144" i="1"/>
  <c r="P145" i="1"/>
  <c r="P147" i="1"/>
  <c r="P148" i="1"/>
  <c r="P151" i="1"/>
  <c r="P152" i="1"/>
  <c r="P153" i="1"/>
  <c r="P155" i="1"/>
  <c r="P156" i="1"/>
  <c r="P157" i="1"/>
  <c r="P159" i="1"/>
  <c r="P160" i="1"/>
  <c r="P161" i="1"/>
  <c r="P163" i="1"/>
  <c r="P164" i="1"/>
  <c r="P165" i="1"/>
  <c r="P166" i="1"/>
  <c r="P167" i="1"/>
  <c r="P168" i="1"/>
  <c r="P169" i="1"/>
  <c r="P171" i="1"/>
  <c r="P172" i="1"/>
  <c r="P173" i="1"/>
  <c r="P174" i="1"/>
  <c r="P175" i="1"/>
  <c r="P176" i="1"/>
  <c r="P177" i="1"/>
  <c r="P179" i="1"/>
  <c r="P180" i="1"/>
  <c r="P181" i="1"/>
  <c r="P182" i="1"/>
  <c r="P183" i="1"/>
  <c r="P184" i="1"/>
  <c r="P185" i="1"/>
  <c r="P187" i="1"/>
  <c r="P188" i="1"/>
  <c r="P189" i="1"/>
  <c r="P190" i="1"/>
  <c r="P191" i="1"/>
  <c r="P192" i="1"/>
  <c r="P193" i="1"/>
  <c r="P199" i="1"/>
  <c r="P200" i="1"/>
  <c r="P2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62" i="1"/>
  <c r="H63" i="1"/>
  <c r="H64" i="1"/>
  <c r="H65" i="1"/>
  <c r="H57" i="1"/>
  <c r="H58" i="1"/>
  <c r="H59" i="1"/>
  <c r="H60" i="1"/>
  <c r="H61" i="1"/>
  <c r="H56" i="1"/>
  <c r="H49" i="1"/>
  <c r="H46" i="1"/>
  <c r="H42" i="1"/>
  <c r="H41" i="1"/>
  <c r="H32" i="1"/>
  <c r="H30" i="1"/>
  <c r="H29" i="1"/>
  <c r="H23" i="1"/>
  <c r="H22" i="1"/>
  <c r="H14" i="1"/>
  <c r="H13" i="1"/>
  <c r="H7" i="1"/>
  <c r="Q7" i="1" s="1"/>
  <c r="H15" i="1"/>
  <c r="H24" i="1"/>
  <c r="Q24" i="1" s="1"/>
  <c r="H45" i="1"/>
  <c r="Q45" i="1" s="1"/>
  <c r="H55"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 i="1"/>
  <c r="H8" i="1"/>
  <c r="Q8" i="1" s="1"/>
  <c r="H9" i="1"/>
  <c r="Q9" i="1" s="1"/>
  <c r="H10" i="1"/>
  <c r="Q10" i="1" s="1"/>
  <c r="H11" i="1"/>
  <c r="Q11" i="1" s="1"/>
  <c r="H12" i="1"/>
  <c r="Q12" i="1" s="1"/>
  <c r="H16" i="1"/>
  <c r="H17" i="1"/>
  <c r="H19" i="1"/>
  <c r="H20" i="1"/>
  <c r="Q20" i="1" s="1"/>
  <c r="H21" i="1"/>
  <c r="Q21" i="1" s="1"/>
  <c r="H25" i="1"/>
  <c r="H26" i="1"/>
  <c r="Q26" i="1" s="1"/>
  <c r="H31" i="1"/>
  <c r="H33" i="1"/>
  <c r="H34" i="1"/>
  <c r="H35" i="1"/>
  <c r="Q35" i="1" s="1"/>
  <c r="H36" i="1"/>
  <c r="Q36" i="1" s="1"/>
  <c r="H37" i="1"/>
  <c r="Q37" i="1" s="1"/>
  <c r="H39" i="1"/>
  <c r="H40" i="1"/>
  <c r="H43" i="1"/>
  <c r="Q43" i="1" s="1"/>
  <c r="H47" i="1"/>
  <c r="H48" i="1"/>
  <c r="Q48" i="1" s="1"/>
  <c r="H50" i="1"/>
  <c r="Q50" i="1" s="1"/>
  <c r="P134" i="1" l="1"/>
  <c r="P70" i="1"/>
  <c r="R198" i="1"/>
  <c r="R134" i="1"/>
  <c r="S102" i="1"/>
  <c r="S70" i="1"/>
  <c r="P133" i="1"/>
  <c r="P78" i="1"/>
  <c r="P5" i="1"/>
  <c r="R133" i="1"/>
  <c r="S197" i="1"/>
  <c r="S101" i="1"/>
  <c r="S69" i="1"/>
  <c r="S6" i="1"/>
  <c r="P196" i="1"/>
  <c r="P141" i="1"/>
  <c r="P4" i="1"/>
  <c r="R196" i="1"/>
  <c r="R150" i="1"/>
  <c r="R141" i="1"/>
  <c r="R132" i="1"/>
  <c r="R38" i="1"/>
  <c r="R28" i="1"/>
  <c r="R6" i="1"/>
  <c r="S142" i="1"/>
  <c r="S132" i="1"/>
  <c r="S68" i="1"/>
  <c r="S5" i="1"/>
  <c r="S115" i="1"/>
  <c r="R115" i="1"/>
  <c r="S107" i="1"/>
  <c r="R107" i="1"/>
  <c r="S99" i="1"/>
  <c r="R99" i="1"/>
  <c r="S91" i="1"/>
  <c r="R91" i="1"/>
  <c r="S83" i="1"/>
  <c r="R83" i="1"/>
  <c r="S75" i="1"/>
  <c r="R75" i="1"/>
  <c r="S67" i="1"/>
  <c r="R67" i="1"/>
  <c r="S59" i="1"/>
  <c r="R59" i="1"/>
  <c r="H51" i="1"/>
  <c r="Q51" i="1" s="1"/>
  <c r="S51" i="1"/>
  <c r="R51" i="1"/>
  <c r="S43" i="1"/>
  <c r="R43" i="1"/>
  <c r="H27" i="1"/>
  <c r="Q27" i="1" s="1"/>
  <c r="R27" i="1"/>
  <c r="S27" i="1"/>
  <c r="S19" i="1"/>
  <c r="R19" i="1"/>
  <c r="R11" i="1"/>
  <c r="S11" i="1"/>
  <c r="H3" i="1"/>
  <c r="Q3" i="1" s="1"/>
  <c r="R3" i="1"/>
  <c r="S3" i="1"/>
  <c r="P198" i="1"/>
  <c r="P6" i="1"/>
  <c r="R94" i="1"/>
  <c r="R30" i="1"/>
  <c r="S38" i="1"/>
  <c r="P197" i="1"/>
  <c r="P142" i="1"/>
  <c r="P69" i="1"/>
  <c r="P14" i="1"/>
  <c r="S37" i="1"/>
  <c r="P77" i="1"/>
  <c r="P195" i="1"/>
  <c r="P158" i="1"/>
  <c r="P149" i="1"/>
  <c r="P140" i="1"/>
  <c r="P131" i="1"/>
  <c r="R195" i="1"/>
  <c r="R131" i="1"/>
  <c r="R5" i="1"/>
  <c r="S35" i="1"/>
  <c r="S4" i="1"/>
  <c r="H2" i="1"/>
  <c r="Q2" i="1" s="1"/>
  <c r="H18" i="1"/>
  <c r="Q18" i="1" s="1"/>
  <c r="P2" i="1"/>
  <c r="P194" i="1"/>
  <c r="P186" i="1"/>
  <c r="P178" i="1"/>
  <c r="P170" i="1"/>
  <c r="P162" i="1"/>
  <c r="P154" i="1"/>
  <c r="P146" i="1"/>
  <c r="P138" i="1"/>
  <c r="P130" i="1"/>
  <c r="P122" i="1"/>
  <c r="P114" i="1"/>
  <c r="P106" i="1"/>
  <c r="P98" i="1"/>
  <c r="P90" i="1"/>
  <c r="P82" i="1"/>
  <c r="P74" i="1"/>
  <c r="P66" i="1"/>
  <c r="P58" i="1"/>
  <c r="P50" i="1"/>
  <c r="P42" i="1"/>
  <c r="P34" i="1"/>
  <c r="P26" i="1"/>
  <c r="P18" i="1"/>
  <c r="P10" i="1"/>
  <c r="R2" i="1"/>
  <c r="R194" i="1"/>
  <c r="R186" i="1"/>
  <c r="R178" i="1"/>
  <c r="R170" i="1"/>
  <c r="R162" i="1"/>
  <c r="R154" i="1"/>
  <c r="R146" i="1"/>
  <c r="R138" i="1"/>
  <c r="R130" i="1"/>
  <c r="R122" i="1"/>
  <c r="R114" i="1"/>
  <c r="R106" i="1"/>
  <c r="R98" i="1"/>
  <c r="R90" i="1"/>
  <c r="R82" i="1"/>
  <c r="R74" i="1"/>
  <c r="R66" i="1"/>
  <c r="R58" i="1"/>
  <c r="R50" i="1"/>
  <c r="R42" i="1"/>
  <c r="R34" i="1"/>
  <c r="R26" i="1"/>
  <c r="R18" i="1"/>
  <c r="R10" i="1"/>
</calcChain>
</file>

<file path=xl/sharedStrings.xml><?xml version="1.0" encoding="utf-8"?>
<sst xmlns="http://schemas.openxmlformats.org/spreadsheetml/2006/main" count="2059" uniqueCount="917">
  <si>
    <t>rank</t>
  </si>
  <si>
    <t>channel_info</t>
  </si>
  <si>
    <t>influence_score</t>
  </si>
  <si>
    <t>posts</t>
  </si>
  <si>
    <t>followers</t>
  </si>
  <si>
    <t>avg_likes</t>
  </si>
  <si>
    <t>60_day_eng_rate</t>
  </si>
  <si>
    <t>new_post_avg_like</t>
  </si>
  <si>
    <t>total_likes</t>
  </si>
  <si>
    <t>country</t>
  </si>
  <si>
    <t>cristiano</t>
  </si>
  <si>
    <t>3.3k</t>
  </si>
  <si>
    <t>475.8m</t>
  </si>
  <si>
    <t>8.7m</t>
  </si>
  <si>
    <t>6.5m</t>
  </si>
  <si>
    <t>29.0b</t>
  </si>
  <si>
    <t>Spain</t>
  </si>
  <si>
    <t>kyliejenner</t>
  </si>
  <si>
    <t>6.9k</t>
  </si>
  <si>
    <t>366.2m</t>
  </si>
  <si>
    <t>8.3m</t>
  </si>
  <si>
    <t>5.9m</t>
  </si>
  <si>
    <t>57.4b</t>
  </si>
  <si>
    <t>United States</t>
  </si>
  <si>
    <t>leomessi</t>
  </si>
  <si>
    <t>0.89k</t>
  </si>
  <si>
    <t>357.3m</t>
  </si>
  <si>
    <t>6.8m</t>
  </si>
  <si>
    <t>4.4m</t>
  </si>
  <si>
    <t>6.0b</t>
  </si>
  <si>
    <t>selenagomez</t>
  </si>
  <si>
    <t>1.8k</t>
  </si>
  <si>
    <t>342.7m</t>
  </si>
  <si>
    <t>6.2m</t>
  </si>
  <si>
    <t>3.3m</t>
  </si>
  <si>
    <t>11.5b</t>
  </si>
  <si>
    <t>therock</t>
  </si>
  <si>
    <t>6.8k</t>
  </si>
  <si>
    <t>334.1m</t>
  </si>
  <si>
    <t>1.9m</t>
  </si>
  <si>
    <t>665.3k</t>
  </si>
  <si>
    <t>12.5b</t>
  </si>
  <si>
    <t>kimkardashian</t>
  </si>
  <si>
    <t>5.6k</t>
  </si>
  <si>
    <t>329.2m</t>
  </si>
  <si>
    <t>3.5m</t>
  </si>
  <si>
    <t>2.9m</t>
  </si>
  <si>
    <t>19.9b</t>
  </si>
  <si>
    <t>arianagrande</t>
  </si>
  <si>
    <t>5.0k</t>
  </si>
  <si>
    <t>327.7m</t>
  </si>
  <si>
    <t>3.7m</t>
  </si>
  <si>
    <t>3.9m</t>
  </si>
  <si>
    <t>18.4b</t>
  </si>
  <si>
    <t>beyonce</t>
  </si>
  <si>
    <t>2.0k</t>
  </si>
  <si>
    <t>272.8m</t>
  </si>
  <si>
    <t>3.6m</t>
  </si>
  <si>
    <t>2.0m</t>
  </si>
  <si>
    <t>7.4b</t>
  </si>
  <si>
    <t>khloekardashian</t>
  </si>
  <si>
    <t>4.1k</t>
  </si>
  <si>
    <t>268.3m</t>
  </si>
  <si>
    <t>2.4m</t>
  </si>
  <si>
    <t>926.9k</t>
  </si>
  <si>
    <t>9.8b</t>
  </si>
  <si>
    <t>justinbieber</t>
  </si>
  <si>
    <t>7.4k</t>
  </si>
  <si>
    <t>254.5m</t>
  </si>
  <si>
    <t>1.5m</t>
  </si>
  <si>
    <t>13.9b</t>
  </si>
  <si>
    <t>Canada</t>
  </si>
  <si>
    <t>kendalljenner</t>
  </si>
  <si>
    <t>0.66k</t>
  </si>
  <si>
    <t>254.0m</t>
  </si>
  <si>
    <t>5.5m</t>
  </si>
  <si>
    <t>5.1m</t>
  </si>
  <si>
    <t>3.7b</t>
  </si>
  <si>
    <t>natgeo</t>
  </si>
  <si>
    <t>10.0k</t>
  </si>
  <si>
    <t>237.0m</t>
  </si>
  <si>
    <t>302.2k</t>
  </si>
  <si>
    <t>159.3k</t>
  </si>
  <si>
    <t>3.0b</t>
  </si>
  <si>
    <t>nike</t>
  </si>
  <si>
    <t>0.95k</t>
  </si>
  <si>
    <t>234.1m</t>
  </si>
  <si>
    <t>329.0k</t>
  </si>
  <si>
    <t>181.8k</t>
  </si>
  <si>
    <t>313.6m</t>
  </si>
  <si>
    <t>taylorswift</t>
  </si>
  <si>
    <t>0.53k</t>
  </si>
  <si>
    <t>222.2m</t>
  </si>
  <si>
    <t>2.3m</t>
  </si>
  <si>
    <t>1.3b</t>
  </si>
  <si>
    <t>jlo</t>
  </si>
  <si>
    <t>3.2k</t>
  </si>
  <si>
    <t>220.4m</t>
  </si>
  <si>
    <t>1.7m</t>
  </si>
  <si>
    <t>1.4m</t>
  </si>
  <si>
    <t>5.3b</t>
  </si>
  <si>
    <t>virat.kohli</t>
  </si>
  <si>
    <t>1.4k</t>
  </si>
  <si>
    <t>211.8m</t>
  </si>
  <si>
    <t>4.9b</t>
  </si>
  <si>
    <t>nickiminaj</t>
  </si>
  <si>
    <t>6.4k</t>
  </si>
  <si>
    <t>201.6m</t>
  </si>
  <si>
    <t>2.1m</t>
  </si>
  <si>
    <t>1.0m</t>
  </si>
  <si>
    <t>13.5b</t>
  </si>
  <si>
    <t>kourtneykardash</t>
  </si>
  <si>
    <t>4.4k</t>
  </si>
  <si>
    <t>195.2m</t>
  </si>
  <si>
    <t>1.8m</t>
  </si>
  <si>
    <t>1.3m</t>
  </si>
  <si>
    <t>7.7b</t>
  </si>
  <si>
    <t>mileycyrus</t>
  </si>
  <si>
    <t>1.2k</t>
  </si>
  <si>
    <t>181.5m</t>
  </si>
  <si>
    <t>913.6k</t>
  </si>
  <si>
    <t>1.6b</t>
  </si>
  <si>
    <t>neymarjr</t>
  </si>
  <si>
    <t>5.3k</t>
  </si>
  <si>
    <t>177.1m</t>
  </si>
  <si>
    <t>2.7m</t>
  </si>
  <si>
    <t>14.1b</t>
  </si>
  <si>
    <t>Brazil</t>
  </si>
  <si>
    <t>katyperry</t>
  </si>
  <si>
    <t>170.3m</t>
  </si>
  <si>
    <t>715.0k</t>
  </si>
  <si>
    <t>265.1k</t>
  </si>
  <si>
    <t>1.5b</t>
  </si>
  <si>
    <t>kevinhart4real</t>
  </si>
  <si>
    <t>8.2k</t>
  </si>
  <si>
    <t>152.0m</t>
  </si>
  <si>
    <t>522.0k</t>
  </si>
  <si>
    <t>115.2k</t>
  </si>
  <si>
    <t>4.3b</t>
  </si>
  <si>
    <t>zendaya</t>
  </si>
  <si>
    <t>3.5k</t>
  </si>
  <si>
    <t>150.7m</t>
  </si>
  <si>
    <t>5.8m</t>
  </si>
  <si>
    <t>4.8m</t>
  </si>
  <si>
    <t>20.6b</t>
  </si>
  <si>
    <t>iamcardib</t>
  </si>
  <si>
    <t>1.6k</t>
  </si>
  <si>
    <t>140.5m</t>
  </si>
  <si>
    <t>3.1m</t>
  </si>
  <si>
    <t>5.0b</t>
  </si>
  <si>
    <t>ddlovato</t>
  </si>
  <si>
    <t>0.08k</t>
  </si>
  <si>
    <t>139.1m</t>
  </si>
  <si>
    <t>1.1m</t>
  </si>
  <si>
    <t>363.4k</t>
  </si>
  <si>
    <t>91.3m</t>
  </si>
  <si>
    <t>badgalriri</t>
  </si>
  <si>
    <t>4.8k</t>
  </si>
  <si>
    <t>135.3m</t>
  </si>
  <si>
    <t>17.9b</t>
  </si>
  <si>
    <t>kingjames</t>
  </si>
  <si>
    <t>2.3k</t>
  </si>
  <si>
    <t>130.9m</t>
  </si>
  <si>
    <t>1.2m</t>
  </si>
  <si>
    <t>theellenshow</t>
  </si>
  <si>
    <t>125.1m</t>
  </si>
  <si>
    <t>420.5k</t>
  </si>
  <si>
    <t>81.7k</t>
  </si>
  <si>
    <t>4.2b</t>
  </si>
  <si>
    <t>realmadrid</t>
  </si>
  <si>
    <t>123.4m</t>
  </si>
  <si>
    <t>996.2k</t>
  </si>
  <si>
    <t>588.3k</t>
  </si>
  <si>
    <t>6.8b</t>
  </si>
  <si>
    <t>champagnepapi</t>
  </si>
  <si>
    <t>5.2k</t>
  </si>
  <si>
    <t>119.6m</t>
  </si>
  <si>
    <t>9.0b</t>
  </si>
  <si>
    <t>Netherlands</t>
  </si>
  <si>
    <t>chrisbrownofficial</t>
  </si>
  <si>
    <t>7.3k</t>
  </si>
  <si>
    <t>118.5m</t>
  </si>
  <si>
    <t>463.2k</t>
  </si>
  <si>
    <t>255.9k</t>
  </si>
  <si>
    <t>3.4b</t>
  </si>
  <si>
    <t>fcbarcelona</t>
  </si>
  <si>
    <t>111.4m</t>
  </si>
  <si>
    <t>706.3k</t>
  </si>
  <si>
    <t>11.6b</t>
  </si>
  <si>
    <t>billieeilish</t>
  </si>
  <si>
    <t>0.69k</t>
  </si>
  <si>
    <t>105.2m</t>
  </si>
  <si>
    <t>8.5m</t>
  </si>
  <si>
    <t>5.2m</t>
  </si>
  <si>
    <t>5.9b</t>
  </si>
  <si>
    <t>dualipa</t>
  </si>
  <si>
    <t>1.3k</t>
  </si>
  <si>
    <t>85.9m</t>
  </si>
  <si>
    <t>2.6b</t>
  </si>
  <si>
    <t>United Kingdom</t>
  </si>
  <si>
    <t>gal_gadot</t>
  </si>
  <si>
    <t>1.7k</t>
  </si>
  <si>
    <t>85.6m</t>
  </si>
  <si>
    <t>586.5k</t>
  </si>
  <si>
    <t>2.3b</t>
  </si>
  <si>
    <t>vindiesel</t>
  </si>
  <si>
    <t>82.3m</t>
  </si>
  <si>
    <t>482.3k</t>
  </si>
  <si>
    <t>2.5b</t>
  </si>
  <si>
    <t>nasa</t>
  </si>
  <si>
    <t>3.6k</t>
  </si>
  <si>
    <t>81.3m</t>
  </si>
  <si>
    <t>priyankachopra</t>
  </si>
  <si>
    <t>81.1m</t>
  </si>
  <si>
    <t>1.6m</t>
  </si>
  <si>
    <t>802.9k</t>
  </si>
  <si>
    <t>5.6b</t>
  </si>
  <si>
    <t>lalalalisa_m</t>
  </si>
  <si>
    <t>0.87k</t>
  </si>
  <si>
    <t>80.9m</t>
  </si>
  <si>
    <t>7.2m</t>
  </si>
  <si>
    <t>5.1b</t>
  </si>
  <si>
    <t>Shakira</t>
  </si>
  <si>
    <t>76.1m</t>
  </si>
  <si>
    <t>975.1k</t>
  </si>
  <si>
    <t>304.7k</t>
  </si>
  <si>
    <t>1.9b</t>
  </si>
  <si>
    <t>snoopdogg</t>
  </si>
  <si>
    <t>75.3m</t>
  </si>
  <si>
    <t>203.7k</t>
  </si>
  <si>
    <t>125.8k</t>
  </si>
  <si>
    <t>2.0b</t>
  </si>
  <si>
    <t>gigihadid</t>
  </si>
  <si>
    <t>2.5m</t>
  </si>
  <si>
    <t>8.2b</t>
  </si>
  <si>
    <t>davidbeckham</t>
  </si>
  <si>
    <t>1.5k</t>
  </si>
  <si>
    <t>74.9m</t>
  </si>
  <si>
    <t>340.9k</t>
  </si>
  <si>
    <t>shraddhakapoor</t>
  </si>
  <si>
    <t>1.9k</t>
  </si>
  <si>
    <t>73.9m</t>
  </si>
  <si>
    <t>859.9k</t>
  </si>
  <si>
    <t>victoriassecret</t>
  </si>
  <si>
    <t>2.9k</t>
  </si>
  <si>
    <t>73.2m</t>
  </si>
  <si>
    <t>147.0k</t>
  </si>
  <si>
    <t>29.8k</t>
  </si>
  <si>
    <t>423.5m</t>
  </si>
  <si>
    <t>k.mbappe</t>
  </si>
  <si>
    <t>72.7m</t>
  </si>
  <si>
    <t>2.8b</t>
  </si>
  <si>
    <t>nehakakkar</t>
  </si>
  <si>
    <t>70.4m</t>
  </si>
  <si>
    <t>370.1k</t>
  </si>
  <si>
    <t>3.5b</t>
  </si>
  <si>
    <t>India</t>
  </si>
  <si>
    <t>nba</t>
  </si>
  <si>
    <t>12.9k</t>
  </si>
  <si>
    <t>70.1m</t>
  </si>
  <si>
    <t>370.8k</t>
  </si>
  <si>
    <t>196.9k</t>
  </si>
  <si>
    <t>4.8b</t>
  </si>
  <si>
    <t>shawnmendes</t>
  </si>
  <si>
    <t>2.5k</t>
  </si>
  <si>
    <t>69.9m</t>
  </si>
  <si>
    <t>8.8b</t>
  </si>
  <si>
    <t>jennierubyjane</t>
  </si>
  <si>
    <t>0.86k</t>
  </si>
  <si>
    <t>68.9m</t>
  </si>
  <si>
    <t>5.7m</t>
  </si>
  <si>
    <t>4.4b</t>
  </si>
  <si>
    <t>narendramodi</t>
  </si>
  <si>
    <t>0.54k</t>
  </si>
  <si>
    <t>aliaabhatt</t>
  </si>
  <si>
    <t>68.7m</t>
  </si>
  <si>
    <t>3.3b</t>
  </si>
  <si>
    <t>deepikapadukone</t>
  </si>
  <si>
    <t>0.26k</t>
  </si>
  <si>
    <t>68.4m</t>
  </si>
  <si>
    <t>419.0m</t>
  </si>
  <si>
    <t>tomholland2013</t>
  </si>
  <si>
    <t>67.7m</t>
  </si>
  <si>
    <t>5.4m</t>
  </si>
  <si>
    <t>7.3m</t>
  </si>
  <si>
    <t>6.6b</t>
  </si>
  <si>
    <t>ronaldinho</t>
  </si>
  <si>
    <t>872.9k</t>
  </si>
  <si>
    <t>325.7k</t>
  </si>
  <si>
    <t>emmawatson</t>
  </si>
  <si>
    <t>0.34k</t>
  </si>
  <si>
    <t>67.3m</t>
  </si>
  <si>
    <t>639.0m</t>
  </si>
  <si>
    <t>bts.bighitofficial</t>
  </si>
  <si>
    <t>66.9m</t>
  </si>
  <si>
    <t>4.1m</t>
  </si>
  <si>
    <t>Uruguay</t>
  </si>
  <si>
    <t>katrinakaif</t>
  </si>
  <si>
    <t>1.0k</t>
  </si>
  <si>
    <t>66.3m</t>
  </si>
  <si>
    <t>1.7b</t>
  </si>
  <si>
    <t>marvel</t>
  </si>
  <si>
    <t>7.0k</t>
  </si>
  <si>
    <t>66.2m</t>
  </si>
  <si>
    <t>332.3k</t>
  </si>
  <si>
    <t>339.0k</t>
  </si>
  <si>
    <t>Turkey</t>
  </si>
  <si>
    <t>justintimberlake</t>
  </si>
  <si>
    <t>0.78k</t>
  </si>
  <si>
    <t>65.9m</t>
  </si>
  <si>
    <t>600.4k</t>
  </si>
  <si>
    <t>189.4k</t>
  </si>
  <si>
    <t>470.7m</t>
  </si>
  <si>
    <t>camila_cabello</t>
  </si>
  <si>
    <t>65.0m</t>
  </si>
  <si>
    <t>5.4b</t>
  </si>
  <si>
    <t>willsmith</t>
  </si>
  <si>
    <t>63.9m</t>
  </si>
  <si>
    <t>raffinagita1717</t>
  </si>
  <si>
    <t>17.5k</t>
  </si>
  <si>
    <t>63.5m</t>
  </si>
  <si>
    <t>386.9k</t>
  </si>
  <si>
    <t>366.6k</t>
  </si>
  <si>
    <t>Indonesia</t>
  </si>
  <si>
    <t>anitta</t>
  </si>
  <si>
    <t>5.1k</t>
  </si>
  <si>
    <t>63.1m</t>
  </si>
  <si>
    <t>855.5k</t>
  </si>
  <si>
    <t>426.2k</t>
  </si>
  <si>
    <t>sooyaaa__</t>
  </si>
  <si>
    <t>0.83k</t>
  </si>
  <si>
    <t>62.9m</t>
  </si>
  <si>
    <t>4.5m</t>
  </si>
  <si>
    <t>3.8b</t>
  </si>
  <si>
    <t>maluma</t>
  </si>
  <si>
    <t>62.8m</t>
  </si>
  <si>
    <t>696.3k</t>
  </si>
  <si>
    <t>Colombia</t>
  </si>
  <si>
    <t>akshaykumar</t>
  </si>
  <si>
    <t>624.9k</t>
  </si>
  <si>
    <t>2.9b</t>
  </si>
  <si>
    <t>jacquelinef143</t>
  </si>
  <si>
    <t>2.4k</t>
  </si>
  <si>
    <t>62.7m</t>
  </si>
  <si>
    <t>718.8k</t>
  </si>
  <si>
    <t>psg</t>
  </si>
  <si>
    <t>61.9m</t>
  </si>
  <si>
    <t>500.5k</t>
  </si>
  <si>
    <t>322.2k</t>
  </si>
  <si>
    <t>France</t>
  </si>
  <si>
    <t>roses_are_rosie</t>
  </si>
  <si>
    <t>0.82k</t>
  </si>
  <si>
    <t>61.8m</t>
  </si>
  <si>
    <t>4.6m</t>
  </si>
  <si>
    <t>6.0m</t>
  </si>
  <si>
    <t>manchesterunited</t>
  </si>
  <si>
    <t>9.9k</t>
  </si>
  <si>
    <t>59.6m</t>
  </si>
  <si>
    <t>381.8k</t>
  </si>
  <si>
    <t>241.6k</t>
  </si>
  <si>
    <t>anushkasharma</t>
  </si>
  <si>
    <t>59.5m</t>
  </si>
  <si>
    <t>2.2b</t>
  </si>
  <si>
    <t>whinderssonnunes</t>
  </si>
  <si>
    <t>2.7k</t>
  </si>
  <si>
    <t>58.7m</t>
  </si>
  <si>
    <t>323.1k</t>
  </si>
  <si>
    <t>9gag</t>
  </si>
  <si>
    <t>58.1m</t>
  </si>
  <si>
    <t>672.6k</t>
  </si>
  <si>
    <t>248.6k</t>
  </si>
  <si>
    <t>6.7b</t>
  </si>
  <si>
    <t>marcelotwelve</t>
  </si>
  <si>
    <t>690.9k</t>
  </si>
  <si>
    <t>448.3k</t>
  </si>
  <si>
    <t>milliebobbybrown</t>
  </si>
  <si>
    <t>0.28k</t>
  </si>
  <si>
    <t>57.6m</t>
  </si>
  <si>
    <t>4.0m</t>
  </si>
  <si>
    <t>5.0m</t>
  </si>
  <si>
    <t>1.1b</t>
  </si>
  <si>
    <t>karimbenzema</t>
  </si>
  <si>
    <t>56.9m</t>
  </si>
  <si>
    <t>878.5k</t>
  </si>
  <si>
    <t>918.9k</t>
  </si>
  <si>
    <t>1.8b</t>
  </si>
  <si>
    <t>chrishemsworth</t>
  </si>
  <si>
    <t>0.88k</t>
  </si>
  <si>
    <t>55.9m</t>
  </si>
  <si>
    <t>2.8m</t>
  </si>
  <si>
    <t>Australia</t>
  </si>
  <si>
    <t>karolg</t>
  </si>
  <si>
    <t>55.6m</t>
  </si>
  <si>
    <t>10.1b</t>
  </si>
  <si>
    <t>paulpogba</t>
  </si>
  <si>
    <t>55.2m</t>
  </si>
  <si>
    <t>462.6k</t>
  </si>
  <si>
    <t>iamzlatanibrahimovic</t>
  </si>
  <si>
    <t>55.1m</t>
  </si>
  <si>
    <t>837.1k</t>
  </si>
  <si>
    <t>leonardodicaprio</t>
  </si>
  <si>
    <t>54.6m</t>
  </si>
  <si>
    <t>395.5k</t>
  </si>
  <si>
    <t>107.6k</t>
  </si>
  <si>
    <t>669.3m</t>
  </si>
  <si>
    <t>juventus</t>
  </si>
  <si>
    <t>54.5m</t>
  </si>
  <si>
    <t>194.8k</t>
  </si>
  <si>
    <t>135.5k</t>
  </si>
  <si>
    <t>zacefron</t>
  </si>
  <si>
    <t>bellahadid</t>
  </si>
  <si>
    <t>54.1m</t>
  </si>
  <si>
    <t>3.6b</t>
  </si>
  <si>
    <t>tatawerneck</t>
  </si>
  <si>
    <t>53.9m</t>
  </si>
  <si>
    <t>959.8k</t>
  </si>
  <si>
    <t>266.5k</t>
  </si>
  <si>
    <t>beingsalmankhan</t>
  </si>
  <si>
    <t>53.5m</t>
  </si>
  <si>
    <t>693.9k</t>
  </si>
  <si>
    <t>robertdowneyjr</t>
  </si>
  <si>
    <t>0.42k</t>
  </si>
  <si>
    <t>53.4m</t>
  </si>
  <si>
    <t>3.0m</t>
  </si>
  <si>
    <t>sunnyleone</t>
  </si>
  <si>
    <t>4.6k</t>
  </si>
  <si>
    <t>764.0k</t>
  </si>
  <si>
    <t>301.3k</t>
  </si>
  <si>
    <t>ladygaga</t>
  </si>
  <si>
    <t>53.2m</t>
  </si>
  <si>
    <t>531.6k</t>
  </si>
  <si>
    <t>dishapatani</t>
  </si>
  <si>
    <t>2.1k</t>
  </si>
  <si>
    <t>53.0m</t>
  </si>
  <si>
    <t>971.7k</t>
  </si>
  <si>
    <t>sergioramos</t>
  </si>
  <si>
    <t>2.2k</t>
  </si>
  <si>
    <t>52.8m</t>
  </si>
  <si>
    <t>557.9k</t>
  </si>
  <si>
    <t>jbalvin</t>
  </si>
  <si>
    <t>878.0k</t>
  </si>
  <si>
    <t>340.5k</t>
  </si>
  <si>
    <t>mosalah</t>
  </si>
  <si>
    <t>0.84k</t>
  </si>
  <si>
    <t>52.5m</t>
  </si>
  <si>
    <t>ayutingting92</t>
  </si>
  <si>
    <t>52.4m</t>
  </si>
  <si>
    <t>147.3k</t>
  </si>
  <si>
    <t>56.3k</t>
  </si>
  <si>
    <t>10.3k</t>
  </si>
  <si>
    <t>51.2m</t>
  </si>
  <si>
    <t>863.2k</t>
  </si>
  <si>
    <t>774.2k</t>
  </si>
  <si>
    <t>8.9b</t>
  </si>
  <si>
    <t>hudabeauty</t>
  </si>
  <si>
    <t>50.8m</t>
  </si>
  <si>
    <t>186.4k</t>
  </si>
  <si>
    <t>16.8k</t>
  </si>
  <si>
    <t>453.6m</t>
  </si>
  <si>
    <t>adele</t>
  </si>
  <si>
    <t>50.7m</t>
  </si>
  <si>
    <t>4.7m</t>
  </si>
  <si>
    <t>michelleobama</t>
  </si>
  <si>
    <t>0.60k</t>
  </si>
  <si>
    <t>700.5k</t>
  </si>
  <si>
    <t>611.2k</t>
  </si>
  <si>
    <t>421.7m</t>
  </si>
  <si>
    <t>kritisanon</t>
  </si>
  <si>
    <t>50.2m</t>
  </si>
  <si>
    <t>897.2k</t>
  </si>
  <si>
    <t>604.4k</t>
  </si>
  <si>
    <t>2.4b</t>
  </si>
  <si>
    <t>jamesrodriguez10</t>
  </si>
  <si>
    <t>1.1k</t>
  </si>
  <si>
    <t>49.9m</t>
  </si>
  <si>
    <t>363.9k</t>
  </si>
  <si>
    <t>krisjenner</t>
  </si>
  <si>
    <t>49.7m</t>
  </si>
  <si>
    <t>356.8k</t>
  </si>
  <si>
    <t>452.9k</t>
  </si>
  <si>
    <t>thv</t>
  </si>
  <si>
    <t>0.06k</t>
  </si>
  <si>
    <t>49.3m</t>
  </si>
  <si>
    <t>15.4m</t>
  </si>
  <si>
    <t>12.6m</t>
  </si>
  <si>
    <t>987.4m</t>
  </si>
  <si>
    <t>lelepons</t>
  </si>
  <si>
    <t>49.2m</t>
  </si>
  <si>
    <t>6.1b</t>
  </si>
  <si>
    <t>charlidamelio</t>
  </si>
  <si>
    <t>0.15k</t>
  </si>
  <si>
    <t>49.1m</t>
  </si>
  <si>
    <t>4.2m</t>
  </si>
  <si>
    <t>654.4m</t>
  </si>
  <si>
    <t>gucci</t>
  </si>
  <si>
    <t>8.9k</t>
  </si>
  <si>
    <t>49.0m</t>
  </si>
  <si>
    <t>115.1k</t>
  </si>
  <si>
    <t>72.4k</t>
  </si>
  <si>
    <t>1.0b</t>
  </si>
  <si>
    <t>Italy</t>
  </si>
  <si>
    <t>prillylatuconsina96</t>
  </si>
  <si>
    <t>6.5k</t>
  </si>
  <si>
    <t>48.9m</t>
  </si>
  <si>
    <t>372.4k</t>
  </si>
  <si>
    <t>131.8k</t>
  </si>
  <si>
    <t>louisvuitton</t>
  </si>
  <si>
    <t>48.7m</t>
  </si>
  <si>
    <t>127.5k</t>
  </si>
  <si>
    <t>40.5k</t>
  </si>
  <si>
    <t>824.0m</t>
  </si>
  <si>
    <t>paulodybala</t>
  </si>
  <si>
    <t>48.3m</t>
  </si>
  <si>
    <t>blackpinkofficial</t>
  </si>
  <si>
    <t>48.2m</t>
  </si>
  <si>
    <t>dovecameron</t>
  </si>
  <si>
    <t>0.17k</t>
  </si>
  <si>
    <t>841.4k</t>
  </si>
  <si>
    <t>283.0m</t>
  </si>
  <si>
    <t>garethbale11</t>
  </si>
  <si>
    <t>0.98k</t>
  </si>
  <si>
    <t>48.1m</t>
  </si>
  <si>
    <t>763.0k</t>
  </si>
  <si>
    <t>681.3k</t>
  </si>
  <si>
    <t>753.1m</t>
  </si>
  <si>
    <t>jokowi</t>
  </si>
  <si>
    <t>47.7m</t>
  </si>
  <si>
    <t>452.6k</t>
  </si>
  <si>
    <t>189.6k</t>
  </si>
  <si>
    <t>nusr_et</t>
  </si>
  <si>
    <t>47.3m</t>
  </si>
  <si>
    <t>728.2k</t>
  </si>
  <si>
    <t>133.0k</t>
  </si>
  <si>
    <t>United Arab Emirates</t>
  </si>
  <si>
    <t>harrystyles</t>
  </si>
  <si>
    <t>0.59k</t>
  </si>
  <si>
    <t>46.9m</t>
  </si>
  <si>
    <t>haileybieber</t>
  </si>
  <si>
    <t>vanessahudgens</t>
  </si>
  <si>
    <t>4.2k</t>
  </si>
  <si>
    <t>46.8m</t>
  </si>
  <si>
    <t>633.9k</t>
  </si>
  <si>
    <t>292.9k</t>
  </si>
  <si>
    <t>2.7b</t>
  </si>
  <si>
    <t>5-Minute Crafts GIRLY</t>
  </si>
  <si>
    <t>46.5m</t>
  </si>
  <si>
    <t>157.0k</t>
  </si>
  <si>
    <t>12.4k</t>
  </si>
  <si>
    <t>zayn</t>
  </si>
  <si>
    <t>0.16k</t>
  </si>
  <si>
    <t>773.5m</t>
  </si>
  <si>
    <t>larissamanoela</t>
  </si>
  <si>
    <t>579.6k</t>
  </si>
  <si>
    <t>259.4k</t>
  </si>
  <si>
    <t>travisscott</t>
  </si>
  <si>
    <t>46.2m</t>
  </si>
  <si>
    <t>2.6m</t>
  </si>
  <si>
    <t>9.6b</t>
  </si>
  <si>
    <t>thenotoriousmma</t>
  </si>
  <si>
    <t>45.9m</t>
  </si>
  <si>
    <t>311.5k</t>
  </si>
  <si>
    <t>daddyyankee</t>
  </si>
  <si>
    <t>0.02k</t>
  </si>
  <si>
    <t>652.5k</t>
  </si>
  <si>
    <t>455.3k</t>
  </si>
  <si>
    <t>18.3m</t>
  </si>
  <si>
    <t>Puerto Rico</t>
  </si>
  <si>
    <t>natgeotravel</t>
  </si>
  <si>
    <t>16.9k</t>
  </si>
  <si>
    <t>45.8m</t>
  </si>
  <si>
    <t>189.9k</t>
  </si>
  <si>
    <t>52.8k</t>
  </si>
  <si>
    <t>3.2b</t>
  </si>
  <si>
    <t>nikefootball</t>
  </si>
  <si>
    <t>45.4m</t>
  </si>
  <si>
    <t>431.2k</t>
  </si>
  <si>
    <t>199.8k</t>
  </si>
  <si>
    <t>784.0m</t>
  </si>
  <si>
    <t>stephencurry30</t>
  </si>
  <si>
    <t>1.2b</t>
  </si>
  <si>
    <t>vancityreynolds</t>
  </si>
  <si>
    <t>0.68k</t>
  </si>
  <si>
    <t>44.8m</t>
  </si>
  <si>
    <t>925.7m</t>
  </si>
  <si>
    <t>maisa</t>
  </si>
  <si>
    <t>44.5m</t>
  </si>
  <si>
    <t>553.0k</t>
  </si>
  <si>
    <t>294.1k</t>
  </si>
  <si>
    <t>820.1m</t>
  </si>
  <si>
    <t>luissuarez9</t>
  </si>
  <si>
    <t>0.97k</t>
  </si>
  <si>
    <t>44.2m</t>
  </si>
  <si>
    <t>801.8k</t>
  </si>
  <si>
    <t>414.8k</t>
  </si>
  <si>
    <t>782.5m</t>
  </si>
  <si>
    <t>gusttavolima</t>
  </si>
  <si>
    <t>4.9k</t>
  </si>
  <si>
    <t>43.9m</t>
  </si>
  <si>
    <t>475.1k</t>
  </si>
  <si>
    <t>303.9k</t>
  </si>
  <si>
    <t>jannatzubair29</t>
  </si>
  <si>
    <t>43.8m</t>
  </si>
  <si>
    <t>944.3k</t>
  </si>
  <si>
    <t>varundvn</t>
  </si>
  <si>
    <t>640.5k</t>
  </si>
  <si>
    <t>hrithikroshan</t>
  </si>
  <si>
    <t>0.58k</t>
  </si>
  <si>
    <t>43.7m</t>
  </si>
  <si>
    <t>949.9m</t>
  </si>
  <si>
    <t>CÃ´te d'Ivoire</t>
  </si>
  <si>
    <t>nickyjampr</t>
  </si>
  <si>
    <t>43.4m</t>
  </si>
  <si>
    <t>381.6k</t>
  </si>
  <si>
    <t>139.3k</t>
  </si>
  <si>
    <t>buzzfeedtasty</t>
  </si>
  <si>
    <t>43.2m</t>
  </si>
  <si>
    <t>65.1k</t>
  </si>
  <si>
    <t>7.7k</t>
  </si>
  <si>
    <t>580.7m</t>
  </si>
  <si>
    <t>brunamarquezine</t>
  </si>
  <si>
    <t>3.0k</t>
  </si>
  <si>
    <t>43.1m</t>
  </si>
  <si>
    <t>969.7k</t>
  </si>
  <si>
    <t>444.2k</t>
  </si>
  <si>
    <t>caradelevingne</t>
  </si>
  <si>
    <t>42.9m</t>
  </si>
  <si>
    <t>790.2k</t>
  </si>
  <si>
    <t>181.0k</t>
  </si>
  <si>
    <t>kapilsharma</t>
  </si>
  <si>
    <t>42.2m</t>
  </si>
  <si>
    <t>736.4k</t>
  </si>
  <si>
    <t>624.5k</t>
  </si>
  <si>
    <t>710.7m</t>
  </si>
  <si>
    <t>badbunnypr</t>
  </si>
  <si>
    <t>0.01k</t>
  </si>
  <si>
    <t>42.1m</t>
  </si>
  <si>
    <t>67.5m</t>
  </si>
  <si>
    <t>britneyspears</t>
  </si>
  <si>
    <t>513.1k</t>
  </si>
  <si>
    <t>221.7k</t>
  </si>
  <si>
    <t>j.m</t>
  </si>
  <si>
    <t>41.9m</t>
  </si>
  <si>
    <t>14.2m</t>
  </si>
  <si>
    <t>11.0m</t>
  </si>
  <si>
    <t>368.1m</t>
  </si>
  <si>
    <t>mariliamendoncacantora</t>
  </si>
  <si>
    <t>41.8m</t>
  </si>
  <si>
    <t>818.6k</t>
  </si>
  <si>
    <t>norafatehi</t>
  </si>
  <si>
    <t>41.6m</t>
  </si>
  <si>
    <t>727.5k</t>
  </si>
  <si>
    <t>Anguilla</t>
  </si>
  <si>
    <t>theweeknd</t>
  </si>
  <si>
    <t>0.67k</t>
  </si>
  <si>
    <t>41.5m</t>
  </si>
  <si>
    <t>767.0m</t>
  </si>
  <si>
    <t>dior</t>
  </si>
  <si>
    <t>9.7k</t>
  </si>
  <si>
    <t>88.8k</t>
  </si>
  <si>
    <t>63.6k</t>
  </si>
  <si>
    <t>863.0m</t>
  </si>
  <si>
    <t>ranveersingh</t>
  </si>
  <si>
    <t>40.8m</t>
  </si>
  <si>
    <t>299.3k</t>
  </si>
  <si>
    <t>Switzerland</t>
  </si>
  <si>
    <t>marinaruybarbosa</t>
  </si>
  <si>
    <t>40.7m</t>
  </si>
  <si>
    <t>586.4k</t>
  </si>
  <si>
    <t>jenniferaniston</t>
  </si>
  <si>
    <t>0.09k</t>
  </si>
  <si>
    <t>731.0k</t>
  </si>
  <si>
    <t>452.0m</t>
  </si>
  <si>
    <t>addisonraee</t>
  </si>
  <si>
    <t>0.30k</t>
  </si>
  <si>
    <t>40.1m</t>
  </si>
  <si>
    <t>994.4k</t>
  </si>
  <si>
    <t>957.9m</t>
  </si>
  <si>
    <t>andresiniesta8</t>
  </si>
  <si>
    <t>40.0m</t>
  </si>
  <si>
    <t>250.8k</t>
  </si>
  <si>
    <t>161.7k</t>
  </si>
  <si>
    <t>500.5m</t>
  </si>
  <si>
    <t>princessyahrini</t>
  </si>
  <si>
    <t>4.5k</t>
  </si>
  <si>
    <t>118.3k</t>
  </si>
  <si>
    <t>87.4k</t>
  </si>
  <si>
    <t>529.9m</t>
  </si>
  <si>
    <t>liverpoolfc</t>
  </si>
  <si>
    <t>39.9m</t>
  </si>
  <si>
    <t>346.7k</t>
  </si>
  <si>
    <t>162.9k</t>
  </si>
  <si>
    <t>teddysphotos</t>
  </si>
  <si>
    <t>715.5k</t>
  </si>
  <si>
    <t>181.1k</t>
  </si>
  <si>
    <t>worldstar</t>
  </si>
  <si>
    <t>11.6k</t>
  </si>
  <si>
    <t>39.2m</t>
  </si>
  <si>
    <t>157.4k</t>
  </si>
  <si>
    <t>84.4k</t>
  </si>
  <si>
    <t>natashawilona12</t>
  </si>
  <si>
    <t>486.5k</t>
  </si>
  <si>
    <t>227.7k</t>
  </si>
  <si>
    <t>563.9m</t>
  </si>
  <si>
    <t>mahi7781</t>
  </si>
  <si>
    <t>0.10k</t>
  </si>
  <si>
    <t>39.1m</t>
  </si>
  <si>
    <t>439.4m</t>
  </si>
  <si>
    <t>georginagio</t>
  </si>
  <si>
    <t>0.73k</t>
  </si>
  <si>
    <t>2.2m</t>
  </si>
  <si>
    <t>cznburak</t>
  </si>
  <si>
    <t>39.0m</t>
  </si>
  <si>
    <t>815.8k</t>
  </si>
  <si>
    <t>383.3k</t>
  </si>
  <si>
    <t>1.4b</t>
  </si>
  <si>
    <t>chrissyteigen</t>
  </si>
  <si>
    <t>38.9m</t>
  </si>
  <si>
    <t>623.1k</t>
  </si>
  <si>
    <t>162.1k</t>
  </si>
  <si>
    <t>ruben_onsu</t>
  </si>
  <si>
    <t>13.4k</t>
  </si>
  <si>
    <t>38.8m</t>
  </si>
  <si>
    <t>49.1k</t>
  </si>
  <si>
    <t>wizkhalifa</t>
  </si>
  <si>
    <t>0.50k</t>
  </si>
  <si>
    <t>38.7m</t>
  </si>
  <si>
    <t>398.7k</t>
  </si>
  <si>
    <t>115.7k</t>
  </si>
  <si>
    <t>199.8m</t>
  </si>
  <si>
    <t>hm</t>
  </si>
  <si>
    <t>38.5m</t>
  </si>
  <si>
    <t>88.4k</t>
  </si>
  <si>
    <t>22.4k</t>
  </si>
  <si>
    <t>644.1m</t>
  </si>
  <si>
    <t>Sweden</t>
  </si>
  <si>
    <t>anushkasen0408</t>
  </si>
  <si>
    <t>38.3m</t>
  </si>
  <si>
    <t>695.4k</t>
  </si>
  <si>
    <t>658.3k</t>
  </si>
  <si>
    <t>prattprattpratt</t>
  </si>
  <si>
    <t>813.5k</t>
  </si>
  <si>
    <t>363.8k</t>
  </si>
  <si>
    <t>594.7m</t>
  </si>
  <si>
    <t>marvelstudios</t>
  </si>
  <si>
    <t>38.1m</t>
  </si>
  <si>
    <t>594.2k</t>
  </si>
  <si>
    <t>555.9k</t>
  </si>
  <si>
    <t>wesleysafadao</t>
  </si>
  <si>
    <t>37.4m</t>
  </si>
  <si>
    <t>256.1k</t>
  </si>
  <si>
    <t>parineetichopra</t>
  </si>
  <si>
    <t>505.7k</t>
  </si>
  <si>
    <t>246.9k</t>
  </si>
  <si>
    <t>672.1m</t>
  </si>
  <si>
    <t>rkive</t>
  </si>
  <si>
    <t>0.11k</t>
  </si>
  <si>
    <t>37.0m</t>
  </si>
  <si>
    <t>10.9m</t>
  </si>
  <si>
    <t>NaN%</t>
  </si>
  <si>
    <t>laudyacynthiabella</t>
  </si>
  <si>
    <t>0.38k</t>
  </si>
  <si>
    <t>36.9m</t>
  </si>
  <si>
    <t>172.8k</t>
  </si>
  <si>
    <t>43.4k</t>
  </si>
  <si>
    <t>66.7m</t>
  </si>
  <si>
    <t>antogriezmann</t>
  </si>
  <si>
    <t>36.5m</t>
  </si>
  <si>
    <t>203.6k</t>
  </si>
  <si>
    <t>955.4m</t>
  </si>
  <si>
    <t>gisel_la</t>
  </si>
  <si>
    <t>150.5k</t>
  </si>
  <si>
    <t>33.4k</t>
  </si>
  <si>
    <t>eminem</t>
  </si>
  <si>
    <t>36.4m</t>
  </si>
  <si>
    <t>962.7k</t>
  </si>
  <si>
    <t>730.1m</t>
  </si>
  <si>
    <t>mercedesbenz</t>
  </si>
  <si>
    <t>36.0m</t>
  </si>
  <si>
    <t>197.9k</t>
  </si>
  <si>
    <t>64.6k</t>
  </si>
  <si>
    <t>British Virgin Islands</t>
  </si>
  <si>
    <t>colesprouse</t>
  </si>
  <si>
    <t>35.9m</t>
  </si>
  <si>
    <t>834.5k</t>
  </si>
  <si>
    <t>nattinatasha</t>
  </si>
  <si>
    <t>0.03k</t>
  </si>
  <si>
    <t>518.1k</t>
  </si>
  <si>
    <t>285.9k</t>
  </si>
  <si>
    <t>18.7m</t>
  </si>
  <si>
    <t>Czech Republic</t>
  </si>
  <si>
    <t>shahidkapoor</t>
  </si>
  <si>
    <t>35.6m</t>
  </si>
  <si>
    <t>780.0k</t>
  </si>
  <si>
    <t>tigerjackieshroff</t>
  </si>
  <si>
    <t>422.9k</t>
  </si>
  <si>
    <t>kimberly.loaiza</t>
  </si>
  <si>
    <t>35.5m</t>
  </si>
  <si>
    <t>Mexico</t>
  </si>
  <si>
    <t>barackobama</t>
  </si>
  <si>
    <t>35.4m</t>
  </si>
  <si>
    <t>411.5k</t>
  </si>
  <si>
    <t>739.5m</t>
  </si>
  <si>
    <t>sachintendulkar</t>
  </si>
  <si>
    <t>35.3m</t>
  </si>
  <si>
    <t>800.4k</t>
  </si>
  <si>
    <t>664.5k</t>
  </si>
  <si>
    <t>810.0m</t>
  </si>
  <si>
    <t>simonemendes</t>
  </si>
  <si>
    <t>35.0m</t>
  </si>
  <si>
    <t>420.0k</t>
  </si>
  <si>
    <t>222.9k</t>
  </si>
  <si>
    <t>ivetesangalo</t>
  </si>
  <si>
    <t>7.6k</t>
  </si>
  <si>
    <t>34.8m</t>
  </si>
  <si>
    <t>226.4k</t>
  </si>
  <si>
    <t>121.1k</t>
  </si>
  <si>
    <t>lunamaya</t>
  </si>
  <si>
    <t>145.4k</t>
  </si>
  <si>
    <t>58.6k</t>
  </si>
  <si>
    <t>589.6m</t>
  </si>
  <si>
    <t>toni.kr8s</t>
  </si>
  <si>
    <t>0.94k</t>
  </si>
  <si>
    <t>34.7m</t>
  </si>
  <si>
    <t>597.2k</t>
  </si>
  <si>
    <t>533.5k</t>
  </si>
  <si>
    <t>561.3m</t>
  </si>
  <si>
    <t>dannapaola</t>
  </si>
  <si>
    <t>paollaoliveirareal</t>
  </si>
  <si>
    <t>367.8k</t>
  </si>
  <si>
    <t>192.3k</t>
  </si>
  <si>
    <t>blakelively</t>
  </si>
  <si>
    <t>34.6m</t>
  </si>
  <si>
    <t>350.9m</t>
  </si>
  <si>
    <t>adidasoriginals</t>
  </si>
  <si>
    <t>34.2m</t>
  </si>
  <si>
    <t>136.2k</t>
  </si>
  <si>
    <t>66.8k</t>
  </si>
  <si>
    <t>21.2m</t>
  </si>
  <si>
    <t>disney</t>
  </si>
  <si>
    <t>185.2k</t>
  </si>
  <si>
    <t>132.0k</t>
  </si>
  <si>
    <t>shaymitchell</t>
  </si>
  <si>
    <t>6.3k</t>
  </si>
  <si>
    <t>34.1m</t>
  </si>
  <si>
    <t>732.4k</t>
  </si>
  <si>
    <t>247.5k</t>
  </si>
  <si>
    <t>4.6b</t>
  </si>
  <si>
    <t>bmw</t>
  </si>
  <si>
    <t>9.3k</t>
  </si>
  <si>
    <t>33.7m</t>
  </si>
  <si>
    <t>231.3k</t>
  </si>
  <si>
    <t>76.5k</t>
  </si>
  <si>
    <t>Germany</t>
  </si>
  <si>
    <t>danbilzerian</t>
  </si>
  <si>
    <t>33.6m</t>
  </si>
  <si>
    <t>khabib_nurmagomedov</t>
  </si>
  <si>
    <t>33.5m</t>
  </si>
  <si>
    <t>685.1k</t>
  </si>
  <si>
    <t>220.7k</t>
  </si>
  <si>
    <t>3.1b</t>
  </si>
  <si>
    <t>Russia</t>
  </si>
  <si>
    <t>zidane</t>
  </si>
  <si>
    <t>0.37k</t>
  </si>
  <si>
    <t>532.7k</t>
  </si>
  <si>
    <t>391.9m</t>
  </si>
  <si>
    <t>sonamkapoor</t>
  </si>
  <si>
    <t>33.3m</t>
  </si>
  <si>
    <t>264.7k</t>
  </si>
  <si>
    <t>209.2k</t>
  </si>
  <si>
    <t>iambeckyg</t>
  </si>
  <si>
    <t>33.2m</t>
  </si>
  <si>
    <t>623.8k</t>
  </si>
  <si>
    <t>464.7k</t>
  </si>
  <si>
    <t>nancyajram</t>
  </si>
  <si>
    <t>3.8k</t>
  </si>
  <si>
    <t>390.4k</t>
  </si>
  <si>
    <t>208.0k</t>
  </si>
  <si>
    <t>luansantana</t>
  </si>
  <si>
    <t>0.77k</t>
  </si>
  <si>
    <t>193.3k</t>
  </si>
  <si>
    <t>82.6k</t>
  </si>
  <si>
    <t>149.2m</t>
  </si>
  <si>
    <t>nickjonas</t>
  </si>
  <si>
    <t>33.0m</t>
  </si>
  <si>
    <t>719.6k</t>
  </si>
  <si>
    <t>467.7k</t>
  </si>
  <si>
    <t>raisa6690</t>
  </si>
  <si>
    <t>32.8m</t>
  </si>
  <si>
    <t>232.2k</t>
  </si>
  <si>
    <t>97.4k</t>
  </si>
  <si>
    <t>969.1m</t>
  </si>
  <si>
    <t>Unknown</t>
  </si>
  <si>
    <t>Engagement Rate (%)</t>
  </si>
  <si>
    <t>Followers Numeric</t>
  </si>
  <si>
    <t>Posts numeric</t>
  </si>
  <si>
    <t>avg likes numerical</t>
  </si>
  <si>
    <t>Total like numerical</t>
  </si>
  <si>
    <t>Growth in Likes (%)</t>
  </si>
  <si>
    <t>Avg New post like numerical</t>
  </si>
  <si>
    <t>Likes per Follower</t>
  </si>
  <si>
    <t>Posts per Follower</t>
  </si>
  <si>
    <t>Post Efficiency</t>
  </si>
  <si>
    <t>Row Labels</t>
  </si>
  <si>
    <t>Grand Total</t>
  </si>
  <si>
    <t>Sum of influence_score</t>
  </si>
  <si>
    <t>Count of followers</t>
  </si>
  <si>
    <t>Average of Engagement Rate (%)</t>
  </si>
  <si>
    <t>Sum of Growth in Likes (%)</t>
  </si>
  <si>
    <t>Top Influencers by Influence Score</t>
  </si>
  <si>
    <t>Followers and Engagement by Country</t>
  </si>
  <si>
    <t>Sum of avg likes numerical</t>
  </si>
  <si>
    <t>Sum of Followers Numeric</t>
  </si>
  <si>
    <t>Average Likes vs Followers</t>
  </si>
  <si>
    <t>Growth in Likes by Influencer</t>
  </si>
  <si>
    <t>Top Instagram Influencers Dashboard</t>
  </si>
  <si>
    <t>BY KUSHI K</t>
  </si>
  <si>
    <t>Growth in Likes by Influence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</si>
</sst>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6"/>
      <color theme="1"/>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10" fontId="0" fillId="0" borderId="0" xfId="0" applyNumberFormat="1"/>
    <xf numFmtId="2" fontId="0" fillId="0" borderId="0" xfId="0" applyNumberFormat="1"/>
    <xf numFmtId="4" fontId="0" fillId="0" borderId="0" xfId="0" applyNumberFormat="1"/>
    <xf numFmtId="10" fontId="0" fillId="0" borderId="0" xfId="42" applyNumberFormat="1" applyFont="1"/>
    <xf numFmtId="164" fontId="0" fillId="0" borderId="0" xfId="0" applyNumberFormat="1"/>
    <xf numFmtId="0" fontId="0" fillId="0" borderId="0" xfId="0" pivotButton="1"/>
    <xf numFmtId="0" fontId="0" fillId="0" borderId="0" xfId="0" applyAlignment="1">
      <alignment horizontal="left"/>
    </xf>
    <xf numFmtId="0" fontId="18" fillId="0" borderId="0" xfId="0" applyFont="1"/>
    <xf numFmtId="0" fontId="16" fillId="0" borderId="0" xfId="0" applyFont="1"/>
    <xf numFmtId="0" fontId="19" fillId="0" borderId="0" xfId="0" applyFon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[project_4_top_influencers.xlsx]Influence Score!PivotTable1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'Influence Score'!$B$3</c:f>
              <c:strCache>
                <c:ptCount val="1"/>
                <c:pt idx="0">
                  <c:v>Total</c:v>
                </c:pt>
              </c:strCache>
            </c:strRef>
          </c:tx>
          <c:spPr>
            <a:solidFill>
              <a:schemeClr val="accent1"/>
            </a:solidFill>
            <a:ln>
              <a:noFill/>
            </a:ln>
            <a:effectLst/>
          </c:spPr>
          <c:invertIfNegative val="0"/>
          <c:cat>
            <c:strRef>
              <c:f>'Influence Score'!$A$4:$A$204</c:f>
              <c:strCache>
                <c:ptCount val="200"/>
                <c:pt idx="0">
                  <c:v>zidane</c:v>
                </c:pt>
                <c:pt idx="1">
                  <c:v>zendaya</c:v>
                </c:pt>
                <c:pt idx="2">
                  <c:v>zayn</c:v>
                </c:pt>
                <c:pt idx="3">
                  <c:v>zacefron</c:v>
                </c:pt>
                <c:pt idx="4">
                  <c:v>worldstar</c:v>
                </c:pt>
                <c:pt idx="5">
                  <c:v>wizkhalifa</c:v>
                </c:pt>
                <c:pt idx="6">
                  <c:v>willsmith</c:v>
                </c:pt>
                <c:pt idx="7">
                  <c:v>whinderssonnunes</c:v>
                </c:pt>
                <c:pt idx="8">
                  <c:v>wesleysafadao</c:v>
                </c:pt>
                <c:pt idx="9">
                  <c:v>virat.kohli</c:v>
                </c:pt>
                <c:pt idx="10">
                  <c:v>vindiesel</c:v>
                </c:pt>
                <c:pt idx="11">
                  <c:v>victoriassecret</c:v>
                </c:pt>
                <c:pt idx="12">
                  <c:v>varundvn</c:v>
                </c:pt>
                <c:pt idx="13">
                  <c:v>vanessahudgens</c:v>
                </c:pt>
                <c:pt idx="14">
                  <c:v>vancityreynolds</c:v>
                </c:pt>
                <c:pt idx="15">
                  <c:v>travisscott</c:v>
                </c:pt>
                <c:pt idx="16">
                  <c:v>toni.kr8s</c:v>
                </c:pt>
                <c:pt idx="17">
                  <c:v>tomholland2013</c:v>
                </c:pt>
                <c:pt idx="18">
                  <c:v>tigerjackieshroff</c:v>
                </c:pt>
                <c:pt idx="19">
                  <c:v>thv</c:v>
                </c:pt>
                <c:pt idx="20">
                  <c:v>theweeknd</c:v>
                </c:pt>
                <c:pt idx="21">
                  <c:v>therock</c:v>
                </c:pt>
                <c:pt idx="22">
                  <c:v>thenotoriousmma</c:v>
                </c:pt>
                <c:pt idx="23">
                  <c:v>theellenshow</c:v>
                </c:pt>
                <c:pt idx="24">
                  <c:v>teddysphotos</c:v>
                </c:pt>
                <c:pt idx="25">
                  <c:v>taylorswift</c:v>
                </c:pt>
                <c:pt idx="26">
                  <c:v>tatawerneck</c:v>
                </c:pt>
                <c:pt idx="27">
                  <c:v>sunnyleone</c:v>
                </c:pt>
                <c:pt idx="28">
                  <c:v>stephencurry30</c:v>
                </c:pt>
                <c:pt idx="29">
                  <c:v>sooyaaa__</c:v>
                </c:pt>
                <c:pt idx="30">
                  <c:v>sonamkapoor</c:v>
                </c:pt>
                <c:pt idx="31">
                  <c:v>snoopdogg</c:v>
                </c:pt>
                <c:pt idx="32">
                  <c:v>simonemendes</c:v>
                </c:pt>
                <c:pt idx="33">
                  <c:v>shraddhakapoor</c:v>
                </c:pt>
                <c:pt idx="34">
                  <c:v>shaymitchell</c:v>
                </c:pt>
                <c:pt idx="35">
                  <c:v>shawnmendes</c:v>
                </c:pt>
                <c:pt idx="36">
                  <c:v>Shakira</c:v>
                </c:pt>
                <c:pt idx="37">
                  <c:v>shahidkapoor</c:v>
                </c:pt>
                <c:pt idx="38">
                  <c:v>sergioramos</c:v>
                </c:pt>
                <c:pt idx="39">
                  <c:v>selenagomez</c:v>
                </c:pt>
                <c:pt idx="40">
                  <c:v>sachintendulkar</c:v>
                </c:pt>
                <c:pt idx="41">
                  <c:v>ruben_onsu</c:v>
                </c:pt>
                <c:pt idx="42">
                  <c:v>roses_are_rosie</c:v>
                </c:pt>
                <c:pt idx="43">
                  <c:v>ronaldinho</c:v>
                </c:pt>
                <c:pt idx="44">
                  <c:v>robertdowneyjr</c:v>
                </c:pt>
                <c:pt idx="45">
                  <c:v>rkive</c:v>
                </c:pt>
                <c:pt idx="46">
                  <c:v>realmadrid</c:v>
                </c:pt>
                <c:pt idx="47">
                  <c:v>ranveersingh</c:v>
                </c:pt>
                <c:pt idx="48">
                  <c:v>raisa6690</c:v>
                </c:pt>
                <c:pt idx="49">
                  <c:v>raffinagita1717</c:v>
                </c:pt>
                <c:pt idx="50">
                  <c:v>psg</c:v>
                </c:pt>
                <c:pt idx="51">
                  <c:v>priyankachopra</c:v>
                </c:pt>
                <c:pt idx="52">
                  <c:v>princessyahrini</c:v>
                </c:pt>
                <c:pt idx="53">
                  <c:v>prillylatuconsina96</c:v>
                </c:pt>
                <c:pt idx="54">
                  <c:v>prattprattpratt</c:v>
                </c:pt>
                <c:pt idx="55">
                  <c:v>paulpogba</c:v>
                </c:pt>
                <c:pt idx="56">
                  <c:v>paulodybala</c:v>
                </c:pt>
                <c:pt idx="57">
                  <c:v>parineetichopra</c:v>
                </c:pt>
                <c:pt idx="58">
                  <c:v>paollaoliveirareal</c:v>
                </c:pt>
                <c:pt idx="59">
                  <c:v>nusr_et</c:v>
                </c:pt>
                <c:pt idx="60">
                  <c:v>norafatehi</c:v>
                </c:pt>
                <c:pt idx="61">
                  <c:v>nikefootball</c:v>
                </c:pt>
                <c:pt idx="62">
                  <c:v>nike</c:v>
                </c:pt>
                <c:pt idx="63">
                  <c:v>nickyjampr</c:v>
                </c:pt>
                <c:pt idx="64">
                  <c:v>nickjonas</c:v>
                </c:pt>
                <c:pt idx="65">
                  <c:v>nickiminaj</c:v>
                </c:pt>
                <c:pt idx="66">
                  <c:v>neymarjr</c:v>
                </c:pt>
                <c:pt idx="67">
                  <c:v>nehakakkar</c:v>
                </c:pt>
                <c:pt idx="68">
                  <c:v>nba</c:v>
                </c:pt>
                <c:pt idx="69">
                  <c:v>nattinatasha</c:v>
                </c:pt>
                <c:pt idx="70">
                  <c:v>natgeotravel</c:v>
                </c:pt>
                <c:pt idx="71">
                  <c:v>natgeo</c:v>
                </c:pt>
                <c:pt idx="72">
                  <c:v>natashawilona12</c:v>
                </c:pt>
                <c:pt idx="73">
                  <c:v>nasa</c:v>
                </c:pt>
                <c:pt idx="74">
                  <c:v>narendramodi</c:v>
                </c:pt>
                <c:pt idx="75">
                  <c:v>nancyajram</c:v>
                </c:pt>
                <c:pt idx="76">
                  <c:v>mosalah</c:v>
                </c:pt>
                <c:pt idx="77">
                  <c:v>milliebobbybrown</c:v>
                </c:pt>
                <c:pt idx="78">
                  <c:v>mileycyrus</c:v>
                </c:pt>
                <c:pt idx="79">
                  <c:v>michelleobama</c:v>
                </c:pt>
                <c:pt idx="80">
                  <c:v>mercedesbenz</c:v>
                </c:pt>
                <c:pt idx="81">
                  <c:v>marvelstudios</c:v>
                </c:pt>
                <c:pt idx="82">
                  <c:v>marvel</c:v>
                </c:pt>
                <c:pt idx="83">
                  <c:v>marinaruybarbosa</c:v>
                </c:pt>
                <c:pt idx="84">
                  <c:v>mariliamendoncacantora</c:v>
                </c:pt>
                <c:pt idx="85">
                  <c:v>marcelotwelve</c:v>
                </c:pt>
                <c:pt idx="86">
                  <c:v>manchesterunited</c:v>
                </c:pt>
                <c:pt idx="87">
                  <c:v>maluma</c:v>
                </c:pt>
                <c:pt idx="88">
                  <c:v>maisa</c:v>
                </c:pt>
                <c:pt idx="89">
                  <c:v>mahi7781</c:v>
                </c:pt>
                <c:pt idx="90">
                  <c:v>lunamaya</c:v>
                </c:pt>
                <c:pt idx="91">
                  <c:v>luissuarez9</c:v>
                </c:pt>
                <c:pt idx="92">
                  <c:v>luansantana</c:v>
                </c:pt>
                <c:pt idx="93">
                  <c:v>louisvuitton</c:v>
                </c:pt>
                <c:pt idx="94">
                  <c:v>liverpoolfc</c:v>
                </c:pt>
                <c:pt idx="95">
                  <c:v>leonardodicaprio</c:v>
                </c:pt>
                <c:pt idx="96">
                  <c:v>leomessi</c:v>
                </c:pt>
                <c:pt idx="97">
                  <c:v>lelepons</c:v>
                </c:pt>
                <c:pt idx="98">
                  <c:v>laudyacynthiabella</c:v>
                </c:pt>
                <c:pt idx="99">
                  <c:v>larissamanoela</c:v>
                </c:pt>
                <c:pt idx="100">
                  <c:v>lalalalisa_m</c:v>
                </c:pt>
                <c:pt idx="101">
                  <c:v>ladygaga</c:v>
                </c:pt>
                <c:pt idx="102">
                  <c:v>kyliejenner</c:v>
                </c:pt>
                <c:pt idx="103">
                  <c:v>kritisanon</c:v>
                </c:pt>
                <c:pt idx="104">
                  <c:v>krisjenner</c:v>
                </c:pt>
                <c:pt idx="105">
                  <c:v>kourtneykardash</c:v>
                </c:pt>
                <c:pt idx="106">
                  <c:v>kingjames</c:v>
                </c:pt>
                <c:pt idx="107">
                  <c:v>kimkardashian</c:v>
                </c:pt>
                <c:pt idx="108">
                  <c:v>kimberly.loaiza</c:v>
                </c:pt>
                <c:pt idx="109">
                  <c:v>khloekardashian</c:v>
                </c:pt>
                <c:pt idx="110">
                  <c:v>khabib_nurmagomedov</c:v>
                </c:pt>
                <c:pt idx="111">
                  <c:v>kevinhart4real</c:v>
                </c:pt>
                <c:pt idx="112">
                  <c:v>kendalljenner</c:v>
                </c:pt>
                <c:pt idx="113">
                  <c:v>katyperry</c:v>
                </c:pt>
                <c:pt idx="114">
                  <c:v>katrinakaif</c:v>
                </c:pt>
                <c:pt idx="115">
                  <c:v>karolg</c:v>
                </c:pt>
                <c:pt idx="116">
                  <c:v>karimbenzema</c:v>
                </c:pt>
                <c:pt idx="117">
                  <c:v>kapilsharma</c:v>
                </c:pt>
                <c:pt idx="118">
                  <c:v>k.mbappe</c:v>
                </c:pt>
                <c:pt idx="119">
                  <c:v>juventus</c:v>
                </c:pt>
                <c:pt idx="120">
                  <c:v>justintimberlake</c:v>
                </c:pt>
                <c:pt idx="121">
                  <c:v>justinbieber</c:v>
                </c:pt>
                <c:pt idx="122">
                  <c:v>jokowi</c:v>
                </c:pt>
                <c:pt idx="123">
                  <c:v>jlo</c:v>
                </c:pt>
                <c:pt idx="124">
                  <c:v>jenniferaniston</c:v>
                </c:pt>
                <c:pt idx="125">
                  <c:v>jennierubyjane</c:v>
                </c:pt>
                <c:pt idx="126">
                  <c:v>jbalvin</c:v>
                </c:pt>
                <c:pt idx="127">
                  <c:v>jannatzubair29</c:v>
                </c:pt>
                <c:pt idx="128">
                  <c:v>jamesrodriguez10</c:v>
                </c:pt>
                <c:pt idx="129">
                  <c:v>jacquelinef143</c:v>
                </c:pt>
                <c:pt idx="130">
                  <c:v>j.m</c:v>
                </c:pt>
                <c:pt idx="131">
                  <c:v>ivetesangalo</c:v>
                </c:pt>
                <c:pt idx="132">
                  <c:v>iamzlatanibrahimovic</c:v>
                </c:pt>
                <c:pt idx="133">
                  <c:v>iamcardib</c:v>
                </c:pt>
                <c:pt idx="134">
                  <c:v>iambeckyg</c:v>
                </c:pt>
                <c:pt idx="135">
                  <c:v>hudabeauty</c:v>
                </c:pt>
                <c:pt idx="136">
                  <c:v>hrithikroshan</c:v>
                </c:pt>
                <c:pt idx="137">
                  <c:v>hm</c:v>
                </c:pt>
                <c:pt idx="138">
                  <c:v>harrystyles</c:v>
                </c:pt>
                <c:pt idx="139">
                  <c:v>haileybieber</c:v>
                </c:pt>
                <c:pt idx="140">
                  <c:v>gusttavolima</c:v>
                </c:pt>
                <c:pt idx="141">
                  <c:v>gucci</c:v>
                </c:pt>
                <c:pt idx="142">
                  <c:v>gisel_la</c:v>
                </c:pt>
                <c:pt idx="143">
                  <c:v>gigihadid</c:v>
                </c:pt>
                <c:pt idx="144">
                  <c:v>georginagio</c:v>
                </c:pt>
                <c:pt idx="145">
                  <c:v>garethbale11</c:v>
                </c:pt>
                <c:pt idx="146">
                  <c:v>gal_gadot</c:v>
                </c:pt>
                <c:pt idx="147">
                  <c:v>fcbarcelona</c:v>
                </c:pt>
                <c:pt idx="148">
                  <c:v>emmawatson</c:v>
                </c:pt>
                <c:pt idx="149">
                  <c:v>eminem</c:v>
                </c:pt>
                <c:pt idx="150">
                  <c:v>dualipa</c:v>
                </c:pt>
                <c:pt idx="151">
                  <c:v>dovecameron</c:v>
                </c:pt>
                <c:pt idx="152">
                  <c:v>disney</c:v>
                </c:pt>
                <c:pt idx="153">
                  <c:v>dishapatani</c:v>
                </c:pt>
                <c:pt idx="154">
                  <c:v>dior</c:v>
                </c:pt>
                <c:pt idx="155">
                  <c:v>deepikapadukone</c:v>
                </c:pt>
                <c:pt idx="156">
                  <c:v>ddlovato</c:v>
                </c:pt>
                <c:pt idx="157">
                  <c:v>davidbeckham</c:v>
                </c:pt>
                <c:pt idx="158">
                  <c:v>dannapaola</c:v>
                </c:pt>
                <c:pt idx="159">
                  <c:v>danbilzerian</c:v>
                </c:pt>
                <c:pt idx="160">
                  <c:v>daddyyankee</c:v>
                </c:pt>
                <c:pt idx="161">
                  <c:v>cznburak</c:v>
                </c:pt>
                <c:pt idx="162">
                  <c:v>cristiano</c:v>
                </c:pt>
                <c:pt idx="163">
                  <c:v>colesprouse</c:v>
                </c:pt>
                <c:pt idx="164">
                  <c:v>chrissyteigen</c:v>
                </c:pt>
                <c:pt idx="165">
                  <c:v>chrishemsworth</c:v>
                </c:pt>
                <c:pt idx="166">
                  <c:v>chrisbrownofficial</c:v>
                </c:pt>
                <c:pt idx="167">
                  <c:v>charlidamelio</c:v>
                </c:pt>
                <c:pt idx="168">
                  <c:v>champagnepapi</c:v>
                </c:pt>
                <c:pt idx="169">
                  <c:v>caradelevingne</c:v>
                </c:pt>
                <c:pt idx="170">
                  <c:v>camila_cabello</c:v>
                </c:pt>
                <c:pt idx="171">
                  <c:v>buzzfeedtasty</c:v>
                </c:pt>
                <c:pt idx="172">
                  <c:v>bts.bighitofficial</c:v>
                </c:pt>
                <c:pt idx="173">
                  <c:v>brunamarquezine</c:v>
                </c:pt>
                <c:pt idx="174">
                  <c:v>britneyspears</c:v>
                </c:pt>
                <c:pt idx="175">
                  <c:v>bmw</c:v>
                </c:pt>
                <c:pt idx="176">
                  <c:v>blakelively</c:v>
                </c:pt>
                <c:pt idx="177">
                  <c:v>blackpinkofficial</c:v>
                </c:pt>
                <c:pt idx="178">
                  <c:v>billieeilish</c:v>
                </c:pt>
                <c:pt idx="179">
                  <c:v>beyonce</c:v>
                </c:pt>
                <c:pt idx="180">
                  <c:v>bellahadid</c:v>
                </c:pt>
                <c:pt idx="181">
                  <c:v>beingsalmankhan</c:v>
                </c:pt>
                <c:pt idx="182">
                  <c:v>barackobama</c:v>
                </c:pt>
                <c:pt idx="183">
                  <c:v>badgalriri</c:v>
                </c:pt>
                <c:pt idx="184">
                  <c:v>badbunnypr</c:v>
                </c:pt>
                <c:pt idx="185">
                  <c:v>ayutingting92</c:v>
                </c:pt>
                <c:pt idx="186">
                  <c:v>arianagrande</c:v>
                </c:pt>
                <c:pt idx="187">
                  <c:v>anushkasharma</c:v>
                </c:pt>
                <c:pt idx="188">
                  <c:v>anushkasen0408</c:v>
                </c:pt>
                <c:pt idx="189">
                  <c:v>antogriezmann</c:v>
                </c:pt>
                <c:pt idx="190">
                  <c:v>anitta</c:v>
                </c:pt>
                <c:pt idx="191">
                  <c:v>andresiniesta8</c:v>
                </c:pt>
                <c:pt idx="192">
                  <c:v>aliaabhatt</c:v>
                </c:pt>
                <c:pt idx="193">
                  <c:v>akshaykumar</c:v>
                </c:pt>
                <c:pt idx="194">
                  <c:v>adidasoriginals</c:v>
                </c:pt>
                <c:pt idx="195">
                  <c:v>adele</c:v>
                </c:pt>
                <c:pt idx="196">
                  <c:v>addisonraee</c:v>
                </c:pt>
                <c:pt idx="197">
                  <c:v>9gag</c:v>
                </c:pt>
                <c:pt idx="198">
                  <c:v>5-Minute Crafts GIRLY</c:v>
                </c:pt>
                <c:pt idx="199">
                  <c:v>433</c:v>
                </c:pt>
              </c:strCache>
            </c:strRef>
          </c:cat>
          <c:val>
            <c:numRef>
              <c:f>'Influence Score'!$B$4:$B$204</c:f>
              <c:numCache>
                <c:formatCode>General</c:formatCode>
                <c:ptCount val="200"/>
                <c:pt idx="0">
                  <c:v>41</c:v>
                </c:pt>
                <c:pt idx="1">
                  <c:v>87</c:v>
                </c:pt>
                <c:pt idx="2">
                  <c:v>82</c:v>
                </c:pt>
                <c:pt idx="3">
                  <c:v>86</c:v>
                </c:pt>
                <c:pt idx="4">
                  <c:v>78</c:v>
                </c:pt>
                <c:pt idx="5">
                  <c:v>80</c:v>
                </c:pt>
                <c:pt idx="6">
                  <c:v>82</c:v>
                </c:pt>
                <c:pt idx="7">
                  <c:v>79</c:v>
                </c:pt>
                <c:pt idx="8">
                  <c:v>80</c:v>
                </c:pt>
                <c:pt idx="9">
                  <c:v>87</c:v>
                </c:pt>
                <c:pt idx="10">
                  <c:v>88</c:v>
                </c:pt>
                <c:pt idx="11">
                  <c:v>88</c:v>
                </c:pt>
                <c:pt idx="12">
                  <c:v>84</c:v>
                </c:pt>
                <c:pt idx="13">
                  <c:v>84</c:v>
                </c:pt>
                <c:pt idx="14">
                  <c:v>86</c:v>
                </c:pt>
                <c:pt idx="15">
                  <c:v>78</c:v>
                </c:pt>
                <c:pt idx="16">
                  <c:v>83</c:v>
                </c:pt>
                <c:pt idx="17">
                  <c:v>77</c:v>
                </c:pt>
                <c:pt idx="18">
                  <c:v>83</c:v>
                </c:pt>
                <c:pt idx="19">
                  <c:v>83</c:v>
                </c:pt>
                <c:pt idx="20">
                  <c:v>83</c:v>
                </c:pt>
                <c:pt idx="21">
                  <c:v>91</c:v>
                </c:pt>
                <c:pt idx="22">
                  <c:v>82</c:v>
                </c:pt>
                <c:pt idx="23">
                  <c:v>87</c:v>
                </c:pt>
                <c:pt idx="24">
                  <c:v>80</c:v>
                </c:pt>
                <c:pt idx="25">
                  <c:v>91</c:v>
                </c:pt>
                <c:pt idx="26">
                  <c:v>86</c:v>
                </c:pt>
                <c:pt idx="27">
                  <c:v>84</c:v>
                </c:pt>
                <c:pt idx="28">
                  <c:v>84</c:v>
                </c:pt>
                <c:pt idx="29">
                  <c:v>82</c:v>
                </c:pt>
                <c:pt idx="30">
                  <c:v>75</c:v>
                </c:pt>
                <c:pt idx="31">
                  <c:v>86</c:v>
                </c:pt>
                <c:pt idx="32">
                  <c:v>72</c:v>
                </c:pt>
                <c:pt idx="33">
                  <c:v>81</c:v>
                </c:pt>
                <c:pt idx="34">
                  <c:v>83</c:v>
                </c:pt>
                <c:pt idx="35">
                  <c:v>83</c:v>
                </c:pt>
                <c:pt idx="36">
                  <c:v>88</c:v>
                </c:pt>
                <c:pt idx="37">
                  <c:v>82</c:v>
                </c:pt>
                <c:pt idx="38">
                  <c:v>87</c:v>
                </c:pt>
                <c:pt idx="39">
                  <c:v>93</c:v>
                </c:pt>
                <c:pt idx="40">
                  <c:v>76</c:v>
                </c:pt>
                <c:pt idx="41">
                  <c:v>75</c:v>
                </c:pt>
                <c:pt idx="42">
                  <c:v>82</c:v>
                </c:pt>
                <c:pt idx="43">
                  <c:v>78</c:v>
                </c:pt>
                <c:pt idx="44">
                  <c:v>86</c:v>
                </c:pt>
                <c:pt idx="45">
                  <c:v>83</c:v>
                </c:pt>
                <c:pt idx="46">
                  <c:v>90</c:v>
                </c:pt>
                <c:pt idx="47">
                  <c:v>85</c:v>
                </c:pt>
                <c:pt idx="48">
                  <c:v>80</c:v>
                </c:pt>
                <c:pt idx="49">
                  <c:v>83</c:v>
                </c:pt>
                <c:pt idx="50">
                  <c:v>86</c:v>
                </c:pt>
                <c:pt idx="51">
                  <c:v>85</c:v>
                </c:pt>
                <c:pt idx="52">
                  <c:v>81</c:v>
                </c:pt>
                <c:pt idx="53">
                  <c:v>84</c:v>
                </c:pt>
                <c:pt idx="54">
                  <c:v>84</c:v>
                </c:pt>
                <c:pt idx="55">
                  <c:v>80</c:v>
                </c:pt>
                <c:pt idx="56">
                  <c:v>85</c:v>
                </c:pt>
                <c:pt idx="57">
                  <c:v>84</c:v>
                </c:pt>
                <c:pt idx="58">
                  <c:v>84</c:v>
                </c:pt>
                <c:pt idx="59">
                  <c:v>81</c:v>
                </c:pt>
                <c:pt idx="60">
                  <c:v>83</c:v>
                </c:pt>
                <c:pt idx="61">
                  <c:v>85</c:v>
                </c:pt>
                <c:pt idx="62">
                  <c:v>90</c:v>
                </c:pt>
                <c:pt idx="63">
                  <c:v>81</c:v>
                </c:pt>
                <c:pt idx="64">
                  <c:v>78</c:v>
                </c:pt>
                <c:pt idx="65">
                  <c:v>90</c:v>
                </c:pt>
                <c:pt idx="66">
                  <c:v>90</c:v>
                </c:pt>
                <c:pt idx="67">
                  <c:v>84</c:v>
                </c:pt>
                <c:pt idx="68">
                  <c:v>87</c:v>
                </c:pt>
                <c:pt idx="69">
                  <c:v>47</c:v>
                </c:pt>
                <c:pt idx="70">
                  <c:v>82</c:v>
                </c:pt>
                <c:pt idx="71">
                  <c:v>91</c:v>
                </c:pt>
                <c:pt idx="72">
                  <c:v>84</c:v>
                </c:pt>
                <c:pt idx="73">
                  <c:v>88</c:v>
                </c:pt>
                <c:pt idx="74">
                  <c:v>85</c:v>
                </c:pt>
                <c:pt idx="75">
                  <c:v>81</c:v>
                </c:pt>
                <c:pt idx="76">
                  <c:v>22</c:v>
                </c:pt>
                <c:pt idx="77">
                  <c:v>80</c:v>
                </c:pt>
                <c:pt idx="78">
                  <c:v>89</c:v>
                </c:pt>
                <c:pt idx="79">
                  <c:v>85</c:v>
                </c:pt>
                <c:pt idx="80">
                  <c:v>77</c:v>
                </c:pt>
                <c:pt idx="81">
                  <c:v>83</c:v>
                </c:pt>
                <c:pt idx="82">
                  <c:v>82</c:v>
                </c:pt>
                <c:pt idx="83">
                  <c:v>81</c:v>
                </c:pt>
                <c:pt idx="84">
                  <c:v>73</c:v>
                </c:pt>
                <c:pt idx="85">
                  <c:v>86</c:v>
                </c:pt>
                <c:pt idx="86">
                  <c:v>85</c:v>
                </c:pt>
                <c:pt idx="87">
                  <c:v>84</c:v>
                </c:pt>
                <c:pt idx="88">
                  <c:v>42</c:v>
                </c:pt>
                <c:pt idx="89">
                  <c:v>58</c:v>
                </c:pt>
                <c:pt idx="90">
                  <c:v>83</c:v>
                </c:pt>
                <c:pt idx="91">
                  <c:v>85</c:v>
                </c:pt>
                <c:pt idx="92">
                  <c:v>79</c:v>
                </c:pt>
                <c:pt idx="93">
                  <c:v>82</c:v>
                </c:pt>
                <c:pt idx="94">
                  <c:v>75</c:v>
                </c:pt>
                <c:pt idx="95">
                  <c:v>86</c:v>
                </c:pt>
                <c:pt idx="96">
                  <c:v>90</c:v>
                </c:pt>
                <c:pt idx="97">
                  <c:v>81</c:v>
                </c:pt>
                <c:pt idx="98">
                  <c:v>76</c:v>
                </c:pt>
                <c:pt idx="99">
                  <c:v>85</c:v>
                </c:pt>
                <c:pt idx="100">
                  <c:v>70</c:v>
                </c:pt>
                <c:pt idx="101">
                  <c:v>83</c:v>
                </c:pt>
                <c:pt idx="102">
                  <c:v>91</c:v>
                </c:pt>
                <c:pt idx="103">
                  <c:v>76</c:v>
                </c:pt>
                <c:pt idx="104">
                  <c:v>80</c:v>
                </c:pt>
                <c:pt idx="105">
                  <c:v>89</c:v>
                </c:pt>
                <c:pt idx="106">
                  <c:v>86</c:v>
                </c:pt>
                <c:pt idx="107">
                  <c:v>91</c:v>
                </c:pt>
                <c:pt idx="108">
                  <c:v>78</c:v>
                </c:pt>
                <c:pt idx="109">
                  <c:v>89</c:v>
                </c:pt>
                <c:pt idx="110">
                  <c:v>63</c:v>
                </c:pt>
                <c:pt idx="111">
                  <c:v>88</c:v>
                </c:pt>
                <c:pt idx="112">
                  <c:v>90</c:v>
                </c:pt>
                <c:pt idx="113">
                  <c:v>92</c:v>
                </c:pt>
                <c:pt idx="114">
                  <c:v>85</c:v>
                </c:pt>
                <c:pt idx="115">
                  <c:v>83</c:v>
                </c:pt>
                <c:pt idx="116">
                  <c:v>42</c:v>
                </c:pt>
                <c:pt idx="117">
                  <c:v>83</c:v>
                </c:pt>
                <c:pt idx="118">
                  <c:v>86</c:v>
                </c:pt>
                <c:pt idx="119">
                  <c:v>87</c:v>
                </c:pt>
                <c:pt idx="120">
                  <c:v>87</c:v>
                </c:pt>
                <c:pt idx="121">
                  <c:v>91</c:v>
                </c:pt>
                <c:pt idx="122">
                  <c:v>85</c:v>
                </c:pt>
                <c:pt idx="123">
                  <c:v>89</c:v>
                </c:pt>
                <c:pt idx="124">
                  <c:v>85</c:v>
                </c:pt>
                <c:pt idx="125">
                  <c:v>76</c:v>
                </c:pt>
                <c:pt idx="126">
                  <c:v>87</c:v>
                </c:pt>
                <c:pt idx="127">
                  <c:v>84</c:v>
                </c:pt>
                <c:pt idx="128">
                  <c:v>86</c:v>
                </c:pt>
                <c:pt idx="129">
                  <c:v>85</c:v>
                </c:pt>
                <c:pt idx="130">
                  <c:v>83</c:v>
                </c:pt>
                <c:pt idx="131">
                  <c:v>84</c:v>
                </c:pt>
                <c:pt idx="132">
                  <c:v>86</c:v>
                </c:pt>
                <c:pt idx="133">
                  <c:v>75</c:v>
                </c:pt>
                <c:pt idx="134">
                  <c:v>71</c:v>
                </c:pt>
                <c:pt idx="135">
                  <c:v>82</c:v>
                </c:pt>
                <c:pt idx="136">
                  <c:v>85</c:v>
                </c:pt>
                <c:pt idx="137">
                  <c:v>83</c:v>
                </c:pt>
                <c:pt idx="138">
                  <c:v>57</c:v>
                </c:pt>
                <c:pt idx="139">
                  <c:v>85</c:v>
                </c:pt>
                <c:pt idx="140">
                  <c:v>76</c:v>
                </c:pt>
                <c:pt idx="141">
                  <c:v>86</c:v>
                </c:pt>
                <c:pt idx="142">
                  <c:v>85</c:v>
                </c:pt>
                <c:pt idx="143">
                  <c:v>85</c:v>
                </c:pt>
                <c:pt idx="144">
                  <c:v>74</c:v>
                </c:pt>
                <c:pt idx="145">
                  <c:v>86</c:v>
                </c:pt>
                <c:pt idx="146">
                  <c:v>85</c:v>
                </c:pt>
                <c:pt idx="147">
                  <c:v>90</c:v>
                </c:pt>
                <c:pt idx="148">
                  <c:v>87</c:v>
                </c:pt>
                <c:pt idx="149">
                  <c:v>84</c:v>
                </c:pt>
                <c:pt idx="150">
                  <c:v>74</c:v>
                </c:pt>
                <c:pt idx="151">
                  <c:v>85</c:v>
                </c:pt>
                <c:pt idx="152">
                  <c:v>77</c:v>
                </c:pt>
                <c:pt idx="153">
                  <c:v>74</c:v>
                </c:pt>
                <c:pt idx="154">
                  <c:v>85</c:v>
                </c:pt>
                <c:pt idx="155">
                  <c:v>83</c:v>
                </c:pt>
                <c:pt idx="156">
                  <c:v>88</c:v>
                </c:pt>
                <c:pt idx="157">
                  <c:v>86</c:v>
                </c:pt>
                <c:pt idx="158">
                  <c:v>68</c:v>
                </c:pt>
                <c:pt idx="159">
                  <c:v>84</c:v>
                </c:pt>
                <c:pt idx="160">
                  <c:v>80</c:v>
                </c:pt>
                <c:pt idx="161">
                  <c:v>80</c:v>
                </c:pt>
                <c:pt idx="162">
                  <c:v>92</c:v>
                </c:pt>
                <c:pt idx="163">
                  <c:v>81</c:v>
                </c:pt>
                <c:pt idx="164">
                  <c:v>79</c:v>
                </c:pt>
                <c:pt idx="165">
                  <c:v>86</c:v>
                </c:pt>
                <c:pt idx="166">
                  <c:v>86</c:v>
                </c:pt>
                <c:pt idx="167">
                  <c:v>80</c:v>
                </c:pt>
                <c:pt idx="168">
                  <c:v>85</c:v>
                </c:pt>
                <c:pt idx="169">
                  <c:v>86</c:v>
                </c:pt>
                <c:pt idx="170">
                  <c:v>77</c:v>
                </c:pt>
                <c:pt idx="171">
                  <c:v>85</c:v>
                </c:pt>
                <c:pt idx="172">
                  <c:v>78</c:v>
                </c:pt>
                <c:pt idx="173">
                  <c:v>84</c:v>
                </c:pt>
                <c:pt idx="174">
                  <c:v>80</c:v>
                </c:pt>
                <c:pt idx="175">
                  <c:v>79</c:v>
                </c:pt>
                <c:pt idx="176">
                  <c:v>80</c:v>
                </c:pt>
                <c:pt idx="177">
                  <c:v>85</c:v>
                </c:pt>
                <c:pt idx="178">
                  <c:v>73</c:v>
                </c:pt>
                <c:pt idx="179">
                  <c:v>92</c:v>
                </c:pt>
                <c:pt idx="180">
                  <c:v>79</c:v>
                </c:pt>
                <c:pt idx="181">
                  <c:v>76</c:v>
                </c:pt>
                <c:pt idx="182">
                  <c:v>81</c:v>
                </c:pt>
                <c:pt idx="183">
                  <c:v>88</c:v>
                </c:pt>
                <c:pt idx="184">
                  <c:v>83</c:v>
                </c:pt>
                <c:pt idx="185">
                  <c:v>85</c:v>
                </c:pt>
                <c:pt idx="186">
                  <c:v>92</c:v>
                </c:pt>
                <c:pt idx="187">
                  <c:v>85</c:v>
                </c:pt>
                <c:pt idx="188">
                  <c:v>85</c:v>
                </c:pt>
                <c:pt idx="189">
                  <c:v>83</c:v>
                </c:pt>
                <c:pt idx="190">
                  <c:v>82</c:v>
                </c:pt>
                <c:pt idx="191">
                  <c:v>85</c:v>
                </c:pt>
                <c:pt idx="192">
                  <c:v>82</c:v>
                </c:pt>
                <c:pt idx="193">
                  <c:v>85</c:v>
                </c:pt>
                <c:pt idx="194">
                  <c:v>83</c:v>
                </c:pt>
                <c:pt idx="195">
                  <c:v>84</c:v>
                </c:pt>
                <c:pt idx="196">
                  <c:v>85</c:v>
                </c:pt>
                <c:pt idx="197">
                  <c:v>86</c:v>
                </c:pt>
                <c:pt idx="198">
                  <c:v>85</c:v>
                </c:pt>
                <c:pt idx="199">
                  <c:v>79</c:v>
                </c:pt>
              </c:numCache>
            </c:numRef>
          </c:val>
          <c:extLst>
            <c:ext xmlns:c16="http://schemas.microsoft.com/office/drawing/2014/chart" uri="{C3380CC4-5D6E-409C-BE32-E72D297353CC}">
              <c16:uniqueId val="{00000000-C658-4CC5-BA87-21046841AD3B}"/>
            </c:ext>
          </c:extLst>
        </c:ser>
        <c:dLbls>
          <c:showLegendKey val="0"/>
          <c:showVal val="0"/>
          <c:showCatName val="0"/>
          <c:showSerName val="0"/>
          <c:showPercent val="0"/>
          <c:showBubbleSize val="0"/>
        </c:dLbls>
        <c:gapWidth val="182"/>
        <c:axId val="215863231"/>
        <c:axId val="215846911"/>
      </c:barChart>
      <c:catAx>
        <c:axId val="21586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46911"/>
        <c:crosses val="autoZero"/>
        <c:auto val="1"/>
        <c:lblAlgn val="ctr"/>
        <c:lblOffset val="100"/>
        <c:noMultiLvlLbl val="0"/>
      </c:catAx>
      <c:valAx>
        <c:axId val="215846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6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[project_4_top_influencers.xlsx]Followers&amp;Engagement by Country!PivotTable2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'Followers&amp;Engagement by Country'!$B$3</c:f>
              <c:strCache>
                <c:ptCount val="1"/>
                <c:pt idx="0">
                  <c:v>Count of followers</c:v>
                </c:pt>
              </c:strCache>
            </c:strRef>
          </c:tx>
          <c:spPr>
            <a:solidFill>
              <a:schemeClr val="accent1"/>
            </a:solidFill>
            <a:ln>
              <a:noFill/>
            </a:ln>
            <a:effectLst/>
          </c:spPr>
          <c:invertIfNegative val="0"/>
          <c:cat>
            <c:strRef>
              <c:f>'Followers&amp;Engagement by Country'!$A$4:$A$30</c:f>
              <c:strCache>
                <c:ptCount val="26"/>
                <c:pt idx="0">
                  <c:v>Anguilla</c:v>
                </c:pt>
                <c:pt idx="1">
                  <c:v>Australia</c:v>
                </c:pt>
                <c:pt idx="2">
                  <c:v>Brazil</c:v>
                </c:pt>
                <c:pt idx="3">
                  <c:v>British Virgin Islands</c:v>
                </c:pt>
                <c:pt idx="4">
                  <c:v>CÃ´te d'Ivoire</c:v>
                </c:pt>
                <c:pt idx="5">
                  <c:v>Canada</c:v>
                </c:pt>
                <c:pt idx="6">
                  <c:v>Colombia</c:v>
                </c:pt>
                <c:pt idx="7">
                  <c:v>Czech Republic</c:v>
                </c:pt>
                <c:pt idx="8">
                  <c:v>France</c:v>
                </c:pt>
                <c:pt idx="9">
                  <c:v>Germany</c:v>
                </c:pt>
                <c:pt idx="10">
                  <c:v>India</c:v>
                </c:pt>
                <c:pt idx="11">
                  <c:v>Indonesia</c:v>
                </c:pt>
                <c:pt idx="12">
                  <c:v>Italy</c:v>
                </c:pt>
                <c:pt idx="13">
                  <c:v>Mexico</c:v>
                </c:pt>
                <c:pt idx="14">
                  <c:v>Netherlands</c:v>
                </c:pt>
                <c:pt idx="15">
                  <c:v>Puerto Rico</c:v>
                </c:pt>
                <c:pt idx="16">
                  <c:v>Russia</c:v>
                </c:pt>
                <c:pt idx="17">
                  <c:v>Spain</c:v>
                </c:pt>
                <c:pt idx="18">
                  <c:v>Sweden</c:v>
                </c:pt>
                <c:pt idx="19">
                  <c:v>Switzerland</c:v>
                </c:pt>
                <c:pt idx="20">
                  <c:v>Turkey</c:v>
                </c:pt>
                <c:pt idx="21">
                  <c:v>United Arab Emirates</c:v>
                </c:pt>
                <c:pt idx="22">
                  <c:v>United Kingdom</c:v>
                </c:pt>
                <c:pt idx="23">
                  <c:v>United States</c:v>
                </c:pt>
                <c:pt idx="24">
                  <c:v>Unknown</c:v>
                </c:pt>
                <c:pt idx="25">
                  <c:v>Uruguay</c:v>
                </c:pt>
              </c:strCache>
            </c:strRef>
          </c:cat>
          <c:val>
            <c:numRef>
              <c:f>'Followers&amp;Engagement by Country'!$B$4:$B$30</c:f>
              <c:numCache>
                <c:formatCode>General</c:formatCode>
                <c:ptCount val="26"/>
                <c:pt idx="0">
                  <c:v>1</c:v>
                </c:pt>
                <c:pt idx="1">
                  <c:v>1</c:v>
                </c:pt>
                <c:pt idx="2">
                  <c:v>13</c:v>
                </c:pt>
                <c:pt idx="3">
                  <c:v>1</c:v>
                </c:pt>
                <c:pt idx="4">
                  <c:v>1</c:v>
                </c:pt>
                <c:pt idx="5">
                  <c:v>3</c:v>
                </c:pt>
                <c:pt idx="6">
                  <c:v>3</c:v>
                </c:pt>
                <c:pt idx="7">
                  <c:v>1</c:v>
                </c:pt>
                <c:pt idx="8">
                  <c:v>6</c:v>
                </c:pt>
                <c:pt idx="9">
                  <c:v>1</c:v>
                </c:pt>
                <c:pt idx="10">
                  <c:v>12</c:v>
                </c:pt>
                <c:pt idx="11">
                  <c:v>7</c:v>
                </c:pt>
                <c:pt idx="12">
                  <c:v>1</c:v>
                </c:pt>
                <c:pt idx="13">
                  <c:v>2</c:v>
                </c:pt>
                <c:pt idx="14">
                  <c:v>2</c:v>
                </c:pt>
                <c:pt idx="15">
                  <c:v>1</c:v>
                </c:pt>
                <c:pt idx="16">
                  <c:v>1</c:v>
                </c:pt>
                <c:pt idx="17">
                  <c:v>5</c:v>
                </c:pt>
                <c:pt idx="18">
                  <c:v>1</c:v>
                </c:pt>
                <c:pt idx="19">
                  <c:v>1</c:v>
                </c:pt>
                <c:pt idx="20">
                  <c:v>2</c:v>
                </c:pt>
                <c:pt idx="21">
                  <c:v>1</c:v>
                </c:pt>
                <c:pt idx="22">
                  <c:v>4</c:v>
                </c:pt>
                <c:pt idx="23">
                  <c:v>66</c:v>
                </c:pt>
                <c:pt idx="24">
                  <c:v>62</c:v>
                </c:pt>
                <c:pt idx="25">
                  <c:v>1</c:v>
                </c:pt>
              </c:numCache>
            </c:numRef>
          </c:val>
          <c:extLst>
            <c:ext xmlns:c16="http://schemas.microsoft.com/office/drawing/2014/chart" uri="{C3380CC4-5D6E-409C-BE32-E72D297353CC}">
              <c16:uniqueId val="{00000000-4680-44ED-B9FE-8629D7A4893D}"/>
            </c:ext>
          </c:extLst>
        </c:ser>
        <c:dLbls>
          <c:showLegendKey val="0"/>
          <c:showVal val="0"/>
          <c:showCatName val="0"/>
          <c:showSerName val="0"/>
          <c:showPercent val="0"/>
          <c:showBubbleSize val="0"/>
        </c:dLbls>
        <c:gapWidth val="219"/>
        <c:axId val="1052502959"/>
        <c:axId val="1052505839"/>
      </c:barChart>
      <c:lineChart>
        <c:grouping val="standard"/>
        <c:varyColors val="0"/>
        <c:ser>
          <c:idx val="1"/>
          <c:order val="1"/>
          <c:tx>
            <c:strRef>
              <c:f>'Followers&amp;Engagement by Country'!$C$3</c:f>
              <c:strCache>
                <c:ptCount val="1"/>
                <c:pt idx="0">
                  <c:v>Average of Engagement Rate (%)</c:v>
                </c:pt>
              </c:strCache>
            </c:strRef>
          </c:tx>
          <c:spPr>
            <a:ln w="28575" cap="rnd">
              <a:solidFill>
                <a:schemeClr val="accent2"/>
              </a:solidFill>
              <a:round/>
            </a:ln>
            <a:effectLst/>
          </c:spPr>
          <c:marker>
            <c:symbol val="none"/>
          </c:marker>
          <c:cat>
            <c:strRef>
              <c:f>'Followers&amp;Engagement by Country'!$A$4:$A$30</c:f>
              <c:strCache>
                <c:ptCount val="26"/>
                <c:pt idx="0">
                  <c:v>Anguilla</c:v>
                </c:pt>
                <c:pt idx="1">
                  <c:v>Australia</c:v>
                </c:pt>
                <c:pt idx="2">
                  <c:v>Brazil</c:v>
                </c:pt>
                <c:pt idx="3">
                  <c:v>British Virgin Islands</c:v>
                </c:pt>
                <c:pt idx="4">
                  <c:v>CÃ´te d'Ivoire</c:v>
                </c:pt>
                <c:pt idx="5">
                  <c:v>Canada</c:v>
                </c:pt>
                <c:pt idx="6">
                  <c:v>Colombia</c:v>
                </c:pt>
                <c:pt idx="7">
                  <c:v>Czech Republic</c:v>
                </c:pt>
                <c:pt idx="8">
                  <c:v>France</c:v>
                </c:pt>
                <c:pt idx="9">
                  <c:v>Germany</c:v>
                </c:pt>
                <c:pt idx="10">
                  <c:v>India</c:v>
                </c:pt>
                <c:pt idx="11">
                  <c:v>Indonesia</c:v>
                </c:pt>
                <c:pt idx="12">
                  <c:v>Italy</c:v>
                </c:pt>
                <c:pt idx="13">
                  <c:v>Mexico</c:v>
                </c:pt>
                <c:pt idx="14">
                  <c:v>Netherlands</c:v>
                </c:pt>
                <c:pt idx="15">
                  <c:v>Puerto Rico</c:v>
                </c:pt>
                <c:pt idx="16">
                  <c:v>Russia</c:v>
                </c:pt>
                <c:pt idx="17">
                  <c:v>Spain</c:v>
                </c:pt>
                <c:pt idx="18">
                  <c:v>Sweden</c:v>
                </c:pt>
                <c:pt idx="19">
                  <c:v>Switzerland</c:v>
                </c:pt>
                <c:pt idx="20">
                  <c:v>Turkey</c:v>
                </c:pt>
                <c:pt idx="21">
                  <c:v>United Arab Emirates</c:v>
                </c:pt>
                <c:pt idx="22">
                  <c:v>United Kingdom</c:v>
                </c:pt>
                <c:pt idx="23">
                  <c:v>United States</c:v>
                </c:pt>
                <c:pt idx="24">
                  <c:v>Unknown</c:v>
                </c:pt>
                <c:pt idx="25">
                  <c:v>Uruguay</c:v>
                </c:pt>
              </c:strCache>
            </c:strRef>
          </c:cat>
          <c:val>
            <c:numRef>
              <c:f>'Followers&amp;Engagement by Country'!$C$4:$C$30</c:f>
              <c:numCache>
                <c:formatCode>0.00</c:formatCode>
                <c:ptCount val="26"/>
                <c:pt idx="0">
                  <c:v>1.7487980769230769</c:v>
                </c:pt>
                <c:pt idx="1">
                  <c:v>3.7567084078711988</c:v>
                </c:pt>
                <c:pt idx="2">
                  <c:v>0.65180088308794781</c:v>
                </c:pt>
                <c:pt idx="3">
                  <c:v>0.17944444444444443</c:v>
                </c:pt>
                <c:pt idx="4">
                  <c:v>3.6613272311212817</c:v>
                </c:pt>
                <c:pt idx="5">
                  <c:v>2.340683287713988</c:v>
                </c:pt>
                <c:pt idx="6">
                  <c:v>0.71966140691766389</c:v>
                </c:pt>
                <c:pt idx="7">
                  <c:v>0.79637883008356547</c:v>
                </c:pt>
                <c:pt idx="8">
                  <c:v>0.7026976926281856</c:v>
                </c:pt>
                <c:pt idx="9">
                  <c:v>0.22700296735905043</c:v>
                </c:pt>
                <c:pt idx="10">
                  <c:v>2.3431953415523359</c:v>
                </c:pt>
                <c:pt idx="11">
                  <c:v>0.24484400321507779</c:v>
                </c:pt>
                <c:pt idx="12">
                  <c:v>0.14775510204081632</c:v>
                </c:pt>
                <c:pt idx="13">
                  <c:v>4.264317895847709</c:v>
                </c:pt>
                <c:pt idx="14">
                  <c:v>1.2995329483695652</c:v>
                </c:pt>
                <c:pt idx="15">
                  <c:v>0.99193899782135075</c:v>
                </c:pt>
                <c:pt idx="16">
                  <c:v>0.65880597014925368</c:v>
                </c:pt>
                <c:pt idx="17">
                  <c:v>0.77597501653768597</c:v>
                </c:pt>
                <c:pt idx="18">
                  <c:v>5.8181818181818182E-2</c:v>
                </c:pt>
                <c:pt idx="19">
                  <c:v>0.73357843137254908</c:v>
                </c:pt>
                <c:pt idx="20">
                  <c:v>0.519343958780346</c:v>
                </c:pt>
                <c:pt idx="21">
                  <c:v>0.28118393234672306</c:v>
                </c:pt>
                <c:pt idx="22">
                  <c:v>1.0318675781342992</c:v>
                </c:pt>
                <c:pt idx="23">
                  <c:v>1.3753514136028568</c:v>
                </c:pt>
                <c:pt idx="24">
                  <c:v>3.09384000104414</c:v>
                </c:pt>
                <c:pt idx="25">
                  <c:v>5.3811659192825108</c:v>
                </c:pt>
              </c:numCache>
            </c:numRef>
          </c:val>
          <c:smooth val="0"/>
          <c:extLst>
            <c:ext xmlns:c16="http://schemas.microsoft.com/office/drawing/2014/chart" uri="{C3380CC4-5D6E-409C-BE32-E72D297353CC}">
              <c16:uniqueId val="{00000001-4680-44ED-B9FE-8629D7A4893D}"/>
            </c:ext>
          </c:extLst>
        </c:ser>
        <c:dLbls>
          <c:showLegendKey val="0"/>
          <c:showVal val="0"/>
          <c:showCatName val="0"/>
          <c:showSerName val="0"/>
          <c:showPercent val="0"/>
          <c:showBubbleSize val="0"/>
        </c:dLbls>
        <c:marker val="1"/>
        <c:smooth val="0"/>
        <c:axId val="1052502959"/>
        <c:axId val="1052505839"/>
      </c:lineChart>
      <c:catAx>
        <c:axId val="105250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505839"/>
        <c:crosses val="autoZero"/>
        <c:auto val="1"/>
        <c:lblAlgn val="ctr"/>
        <c:lblOffset val="100"/>
        <c:noMultiLvlLbl val="0"/>
      </c:catAx>
      <c:valAx>
        <c:axId val="105250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50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[project_4_top_influencers.xlsx]Average Likes vs Followers!PivotTable3</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Likes vs Followers'!$B$3</c:f>
              <c:strCache>
                <c:ptCount val="1"/>
                <c:pt idx="0">
                  <c:v>Sum of avg likes numerical</c:v>
                </c:pt>
              </c:strCache>
            </c:strRef>
          </c:tx>
          <c:spPr>
            <a:solidFill>
              <a:schemeClr val="accent1"/>
            </a:solidFill>
            <a:ln>
              <a:noFill/>
            </a:ln>
            <a:effectLst/>
          </c:spPr>
          <c:invertIfNegative val="0"/>
          <c:cat>
            <c:strRef>
              <c:f>'Average Likes vs Followers'!$A$4:$A$204</c:f>
              <c:strCache>
                <c:ptCount val="200"/>
                <c:pt idx="0">
                  <c:v>433</c:v>
                </c:pt>
                <c:pt idx="1">
                  <c:v>5-Minute Crafts GIRLY</c:v>
                </c:pt>
                <c:pt idx="2">
                  <c:v>9gag</c:v>
                </c:pt>
                <c:pt idx="3">
                  <c:v>addisonraee</c:v>
                </c:pt>
                <c:pt idx="4">
                  <c:v>adele</c:v>
                </c:pt>
                <c:pt idx="5">
                  <c:v>adidasoriginals</c:v>
                </c:pt>
                <c:pt idx="6">
                  <c:v>akshaykumar</c:v>
                </c:pt>
                <c:pt idx="7">
                  <c:v>aliaabhatt</c:v>
                </c:pt>
                <c:pt idx="8">
                  <c:v>andresiniesta8</c:v>
                </c:pt>
                <c:pt idx="9">
                  <c:v>anitta</c:v>
                </c:pt>
                <c:pt idx="10">
                  <c:v>antogriezmann</c:v>
                </c:pt>
                <c:pt idx="11">
                  <c:v>anushkasen0408</c:v>
                </c:pt>
                <c:pt idx="12">
                  <c:v>anushkasharma</c:v>
                </c:pt>
                <c:pt idx="13">
                  <c:v>arianagrande</c:v>
                </c:pt>
                <c:pt idx="14">
                  <c:v>ayutingting92</c:v>
                </c:pt>
                <c:pt idx="15">
                  <c:v>badbunnypr</c:v>
                </c:pt>
                <c:pt idx="16">
                  <c:v>badgalriri</c:v>
                </c:pt>
                <c:pt idx="17">
                  <c:v>barackobama</c:v>
                </c:pt>
                <c:pt idx="18">
                  <c:v>beingsalmankhan</c:v>
                </c:pt>
                <c:pt idx="19">
                  <c:v>bellahadid</c:v>
                </c:pt>
                <c:pt idx="20">
                  <c:v>beyonce</c:v>
                </c:pt>
                <c:pt idx="21">
                  <c:v>billieeilish</c:v>
                </c:pt>
                <c:pt idx="22">
                  <c:v>blackpinkofficial</c:v>
                </c:pt>
                <c:pt idx="23">
                  <c:v>blakelively</c:v>
                </c:pt>
                <c:pt idx="24">
                  <c:v>bmw</c:v>
                </c:pt>
                <c:pt idx="25">
                  <c:v>britneyspears</c:v>
                </c:pt>
                <c:pt idx="26">
                  <c:v>brunamarquezine</c:v>
                </c:pt>
                <c:pt idx="27">
                  <c:v>bts.bighitofficial</c:v>
                </c:pt>
                <c:pt idx="28">
                  <c:v>buzzfeedtasty</c:v>
                </c:pt>
                <c:pt idx="29">
                  <c:v>camila_cabello</c:v>
                </c:pt>
                <c:pt idx="30">
                  <c:v>caradelevingne</c:v>
                </c:pt>
                <c:pt idx="31">
                  <c:v>champagnepapi</c:v>
                </c:pt>
                <c:pt idx="32">
                  <c:v>charlidamelio</c:v>
                </c:pt>
                <c:pt idx="33">
                  <c:v>chrisbrownofficial</c:v>
                </c:pt>
                <c:pt idx="34">
                  <c:v>chrishemsworth</c:v>
                </c:pt>
                <c:pt idx="35">
                  <c:v>chrissyteigen</c:v>
                </c:pt>
                <c:pt idx="36">
                  <c:v>colesprouse</c:v>
                </c:pt>
                <c:pt idx="37">
                  <c:v>cristiano</c:v>
                </c:pt>
                <c:pt idx="38">
                  <c:v>cznburak</c:v>
                </c:pt>
                <c:pt idx="39">
                  <c:v>daddyyankee</c:v>
                </c:pt>
                <c:pt idx="40">
                  <c:v>danbilzerian</c:v>
                </c:pt>
                <c:pt idx="41">
                  <c:v>dannapaola</c:v>
                </c:pt>
                <c:pt idx="42">
                  <c:v>davidbeckham</c:v>
                </c:pt>
                <c:pt idx="43">
                  <c:v>ddlovato</c:v>
                </c:pt>
                <c:pt idx="44">
                  <c:v>deepikapadukone</c:v>
                </c:pt>
                <c:pt idx="45">
                  <c:v>dior</c:v>
                </c:pt>
                <c:pt idx="46">
                  <c:v>dishapatani</c:v>
                </c:pt>
                <c:pt idx="47">
                  <c:v>disney</c:v>
                </c:pt>
                <c:pt idx="48">
                  <c:v>dovecameron</c:v>
                </c:pt>
                <c:pt idx="49">
                  <c:v>dualipa</c:v>
                </c:pt>
                <c:pt idx="50">
                  <c:v>eminem</c:v>
                </c:pt>
                <c:pt idx="51">
                  <c:v>emmawatson</c:v>
                </c:pt>
                <c:pt idx="52">
                  <c:v>fcbarcelona</c:v>
                </c:pt>
                <c:pt idx="53">
                  <c:v>gal_gadot</c:v>
                </c:pt>
                <c:pt idx="54">
                  <c:v>garethbale11</c:v>
                </c:pt>
                <c:pt idx="55">
                  <c:v>georginagio</c:v>
                </c:pt>
                <c:pt idx="56">
                  <c:v>gigihadid</c:v>
                </c:pt>
                <c:pt idx="57">
                  <c:v>gisel_la</c:v>
                </c:pt>
                <c:pt idx="58">
                  <c:v>gucci</c:v>
                </c:pt>
                <c:pt idx="59">
                  <c:v>gusttavolima</c:v>
                </c:pt>
                <c:pt idx="60">
                  <c:v>haileybieber</c:v>
                </c:pt>
                <c:pt idx="61">
                  <c:v>harrystyles</c:v>
                </c:pt>
                <c:pt idx="62">
                  <c:v>hm</c:v>
                </c:pt>
                <c:pt idx="63">
                  <c:v>hrithikroshan</c:v>
                </c:pt>
                <c:pt idx="64">
                  <c:v>hudabeauty</c:v>
                </c:pt>
                <c:pt idx="65">
                  <c:v>iambeckyg</c:v>
                </c:pt>
                <c:pt idx="66">
                  <c:v>iamcardib</c:v>
                </c:pt>
                <c:pt idx="67">
                  <c:v>iamzlatanibrahimovic</c:v>
                </c:pt>
                <c:pt idx="68">
                  <c:v>ivetesangalo</c:v>
                </c:pt>
                <c:pt idx="69">
                  <c:v>j.m</c:v>
                </c:pt>
                <c:pt idx="70">
                  <c:v>jacquelinef143</c:v>
                </c:pt>
                <c:pt idx="71">
                  <c:v>jamesrodriguez10</c:v>
                </c:pt>
                <c:pt idx="72">
                  <c:v>jannatzubair29</c:v>
                </c:pt>
                <c:pt idx="73">
                  <c:v>jbalvin</c:v>
                </c:pt>
                <c:pt idx="74">
                  <c:v>jennierubyjane</c:v>
                </c:pt>
                <c:pt idx="75">
                  <c:v>jenniferaniston</c:v>
                </c:pt>
                <c:pt idx="76">
                  <c:v>jlo</c:v>
                </c:pt>
                <c:pt idx="77">
                  <c:v>jokowi</c:v>
                </c:pt>
                <c:pt idx="78">
                  <c:v>justinbieber</c:v>
                </c:pt>
                <c:pt idx="79">
                  <c:v>justintimberlake</c:v>
                </c:pt>
                <c:pt idx="80">
                  <c:v>juventus</c:v>
                </c:pt>
                <c:pt idx="81">
                  <c:v>k.mbappe</c:v>
                </c:pt>
                <c:pt idx="82">
                  <c:v>kapilsharma</c:v>
                </c:pt>
                <c:pt idx="83">
                  <c:v>karimbenzema</c:v>
                </c:pt>
                <c:pt idx="84">
                  <c:v>karolg</c:v>
                </c:pt>
                <c:pt idx="85">
                  <c:v>katrinakaif</c:v>
                </c:pt>
                <c:pt idx="86">
                  <c:v>katyperry</c:v>
                </c:pt>
                <c:pt idx="87">
                  <c:v>kendalljenner</c:v>
                </c:pt>
                <c:pt idx="88">
                  <c:v>kevinhart4real</c:v>
                </c:pt>
                <c:pt idx="89">
                  <c:v>khabib_nurmagomedov</c:v>
                </c:pt>
                <c:pt idx="90">
                  <c:v>khloekardashian</c:v>
                </c:pt>
                <c:pt idx="91">
                  <c:v>kimberly.loaiza</c:v>
                </c:pt>
                <c:pt idx="92">
                  <c:v>kimkardashian</c:v>
                </c:pt>
                <c:pt idx="93">
                  <c:v>kingjames</c:v>
                </c:pt>
                <c:pt idx="94">
                  <c:v>kourtneykardash</c:v>
                </c:pt>
                <c:pt idx="95">
                  <c:v>krisjenner</c:v>
                </c:pt>
                <c:pt idx="96">
                  <c:v>kritisanon</c:v>
                </c:pt>
                <c:pt idx="97">
                  <c:v>kyliejenner</c:v>
                </c:pt>
                <c:pt idx="98">
                  <c:v>ladygaga</c:v>
                </c:pt>
                <c:pt idx="99">
                  <c:v>lalalalisa_m</c:v>
                </c:pt>
                <c:pt idx="100">
                  <c:v>larissamanoela</c:v>
                </c:pt>
                <c:pt idx="101">
                  <c:v>laudyacynthiabella</c:v>
                </c:pt>
                <c:pt idx="102">
                  <c:v>lelepons</c:v>
                </c:pt>
                <c:pt idx="103">
                  <c:v>leomessi</c:v>
                </c:pt>
                <c:pt idx="104">
                  <c:v>leonardodicaprio</c:v>
                </c:pt>
                <c:pt idx="105">
                  <c:v>liverpoolfc</c:v>
                </c:pt>
                <c:pt idx="106">
                  <c:v>louisvuitton</c:v>
                </c:pt>
                <c:pt idx="107">
                  <c:v>luansantana</c:v>
                </c:pt>
                <c:pt idx="108">
                  <c:v>luissuarez9</c:v>
                </c:pt>
                <c:pt idx="109">
                  <c:v>lunamaya</c:v>
                </c:pt>
                <c:pt idx="110">
                  <c:v>mahi7781</c:v>
                </c:pt>
                <c:pt idx="111">
                  <c:v>maisa</c:v>
                </c:pt>
                <c:pt idx="112">
                  <c:v>maluma</c:v>
                </c:pt>
                <c:pt idx="113">
                  <c:v>manchesterunited</c:v>
                </c:pt>
                <c:pt idx="114">
                  <c:v>marcelotwelve</c:v>
                </c:pt>
                <c:pt idx="115">
                  <c:v>mariliamendoncacantora</c:v>
                </c:pt>
                <c:pt idx="116">
                  <c:v>marinaruybarbosa</c:v>
                </c:pt>
                <c:pt idx="117">
                  <c:v>marvel</c:v>
                </c:pt>
                <c:pt idx="118">
                  <c:v>marvelstudios</c:v>
                </c:pt>
                <c:pt idx="119">
                  <c:v>mercedesbenz</c:v>
                </c:pt>
                <c:pt idx="120">
                  <c:v>michelleobama</c:v>
                </c:pt>
                <c:pt idx="121">
                  <c:v>mileycyrus</c:v>
                </c:pt>
                <c:pt idx="122">
                  <c:v>milliebobbybrown</c:v>
                </c:pt>
                <c:pt idx="123">
                  <c:v>mosalah</c:v>
                </c:pt>
                <c:pt idx="124">
                  <c:v>nancyajram</c:v>
                </c:pt>
                <c:pt idx="125">
                  <c:v>narendramodi</c:v>
                </c:pt>
                <c:pt idx="126">
                  <c:v>nasa</c:v>
                </c:pt>
                <c:pt idx="127">
                  <c:v>natashawilona12</c:v>
                </c:pt>
                <c:pt idx="128">
                  <c:v>natgeo</c:v>
                </c:pt>
                <c:pt idx="129">
                  <c:v>natgeotravel</c:v>
                </c:pt>
                <c:pt idx="130">
                  <c:v>nattinatasha</c:v>
                </c:pt>
                <c:pt idx="131">
                  <c:v>nba</c:v>
                </c:pt>
                <c:pt idx="132">
                  <c:v>nehakakkar</c:v>
                </c:pt>
                <c:pt idx="133">
                  <c:v>neymarjr</c:v>
                </c:pt>
                <c:pt idx="134">
                  <c:v>nickiminaj</c:v>
                </c:pt>
                <c:pt idx="135">
                  <c:v>nickjonas</c:v>
                </c:pt>
                <c:pt idx="136">
                  <c:v>nickyjampr</c:v>
                </c:pt>
                <c:pt idx="137">
                  <c:v>nike</c:v>
                </c:pt>
                <c:pt idx="138">
                  <c:v>nikefootball</c:v>
                </c:pt>
                <c:pt idx="139">
                  <c:v>norafatehi</c:v>
                </c:pt>
                <c:pt idx="140">
                  <c:v>nusr_et</c:v>
                </c:pt>
                <c:pt idx="141">
                  <c:v>paollaoliveirareal</c:v>
                </c:pt>
                <c:pt idx="142">
                  <c:v>parineetichopra</c:v>
                </c:pt>
                <c:pt idx="143">
                  <c:v>paulodybala</c:v>
                </c:pt>
                <c:pt idx="144">
                  <c:v>paulpogba</c:v>
                </c:pt>
                <c:pt idx="145">
                  <c:v>prattprattpratt</c:v>
                </c:pt>
                <c:pt idx="146">
                  <c:v>prillylatuconsina96</c:v>
                </c:pt>
                <c:pt idx="147">
                  <c:v>princessyahrini</c:v>
                </c:pt>
                <c:pt idx="148">
                  <c:v>priyankachopra</c:v>
                </c:pt>
                <c:pt idx="149">
                  <c:v>psg</c:v>
                </c:pt>
                <c:pt idx="150">
                  <c:v>raffinagita1717</c:v>
                </c:pt>
                <c:pt idx="151">
                  <c:v>raisa6690</c:v>
                </c:pt>
                <c:pt idx="152">
                  <c:v>ranveersingh</c:v>
                </c:pt>
                <c:pt idx="153">
                  <c:v>realmadrid</c:v>
                </c:pt>
                <c:pt idx="154">
                  <c:v>rkive</c:v>
                </c:pt>
                <c:pt idx="155">
                  <c:v>robertdowneyjr</c:v>
                </c:pt>
                <c:pt idx="156">
                  <c:v>ronaldinho</c:v>
                </c:pt>
                <c:pt idx="157">
                  <c:v>roses_are_rosie</c:v>
                </c:pt>
                <c:pt idx="158">
                  <c:v>ruben_onsu</c:v>
                </c:pt>
                <c:pt idx="159">
                  <c:v>sachintendulkar</c:v>
                </c:pt>
                <c:pt idx="160">
                  <c:v>selenagomez</c:v>
                </c:pt>
                <c:pt idx="161">
                  <c:v>sergioramos</c:v>
                </c:pt>
                <c:pt idx="162">
                  <c:v>shahidkapoor</c:v>
                </c:pt>
                <c:pt idx="163">
                  <c:v>Shakira</c:v>
                </c:pt>
                <c:pt idx="164">
                  <c:v>shawnmendes</c:v>
                </c:pt>
                <c:pt idx="165">
                  <c:v>shaymitchell</c:v>
                </c:pt>
                <c:pt idx="166">
                  <c:v>shraddhakapoor</c:v>
                </c:pt>
                <c:pt idx="167">
                  <c:v>simonemendes</c:v>
                </c:pt>
                <c:pt idx="168">
                  <c:v>snoopdogg</c:v>
                </c:pt>
                <c:pt idx="169">
                  <c:v>sonamkapoor</c:v>
                </c:pt>
                <c:pt idx="170">
                  <c:v>sooyaaa__</c:v>
                </c:pt>
                <c:pt idx="171">
                  <c:v>stephencurry30</c:v>
                </c:pt>
                <c:pt idx="172">
                  <c:v>sunnyleone</c:v>
                </c:pt>
                <c:pt idx="173">
                  <c:v>tatawerneck</c:v>
                </c:pt>
                <c:pt idx="174">
                  <c:v>taylorswift</c:v>
                </c:pt>
                <c:pt idx="175">
                  <c:v>teddysphotos</c:v>
                </c:pt>
                <c:pt idx="176">
                  <c:v>theellenshow</c:v>
                </c:pt>
                <c:pt idx="177">
                  <c:v>thenotoriousmma</c:v>
                </c:pt>
                <c:pt idx="178">
                  <c:v>therock</c:v>
                </c:pt>
                <c:pt idx="179">
                  <c:v>theweeknd</c:v>
                </c:pt>
                <c:pt idx="180">
                  <c:v>thv</c:v>
                </c:pt>
                <c:pt idx="181">
                  <c:v>tigerjackieshroff</c:v>
                </c:pt>
                <c:pt idx="182">
                  <c:v>tomholland2013</c:v>
                </c:pt>
                <c:pt idx="183">
                  <c:v>toni.kr8s</c:v>
                </c:pt>
                <c:pt idx="184">
                  <c:v>travisscott</c:v>
                </c:pt>
                <c:pt idx="185">
                  <c:v>vancityreynolds</c:v>
                </c:pt>
                <c:pt idx="186">
                  <c:v>vanessahudgens</c:v>
                </c:pt>
                <c:pt idx="187">
                  <c:v>varundvn</c:v>
                </c:pt>
                <c:pt idx="188">
                  <c:v>victoriassecret</c:v>
                </c:pt>
                <c:pt idx="189">
                  <c:v>vindiesel</c:v>
                </c:pt>
                <c:pt idx="190">
                  <c:v>virat.kohli</c:v>
                </c:pt>
                <c:pt idx="191">
                  <c:v>wesleysafadao</c:v>
                </c:pt>
                <c:pt idx="192">
                  <c:v>whinderssonnunes</c:v>
                </c:pt>
                <c:pt idx="193">
                  <c:v>willsmith</c:v>
                </c:pt>
                <c:pt idx="194">
                  <c:v>wizkhalifa</c:v>
                </c:pt>
                <c:pt idx="195">
                  <c:v>worldstar</c:v>
                </c:pt>
                <c:pt idx="196">
                  <c:v>zacefron</c:v>
                </c:pt>
                <c:pt idx="197">
                  <c:v>zayn</c:v>
                </c:pt>
                <c:pt idx="198">
                  <c:v>zendaya</c:v>
                </c:pt>
                <c:pt idx="199">
                  <c:v>zidane</c:v>
                </c:pt>
              </c:strCache>
            </c:strRef>
          </c:cat>
          <c:val>
            <c:numRef>
              <c:f>'Average Likes vs Followers'!$B$4:$B$204</c:f>
              <c:numCache>
                <c:formatCode>#,##0.00</c:formatCode>
                <c:ptCount val="200"/>
                <c:pt idx="0">
                  <c:v>863200</c:v>
                </c:pt>
                <c:pt idx="1">
                  <c:v>157000</c:v>
                </c:pt>
                <c:pt idx="2">
                  <c:v>672600</c:v>
                </c:pt>
                <c:pt idx="3">
                  <c:v>3100000</c:v>
                </c:pt>
                <c:pt idx="4">
                  <c:v>4700000</c:v>
                </c:pt>
                <c:pt idx="5">
                  <c:v>136200</c:v>
                </c:pt>
                <c:pt idx="6">
                  <c:v>1500000</c:v>
                </c:pt>
                <c:pt idx="7">
                  <c:v>1800000</c:v>
                </c:pt>
                <c:pt idx="8">
                  <c:v>250800</c:v>
                </c:pt>
                <c:pt idx="9">
                  <c:v>855500</c:v>
                </c:pt>
                <c:pt idx="10">
                  <c:v>1100000</c:v>
                </c:pt>
                <c:pt idx="11">
                  <c:v>695400</c:v>
                </c:pt>
                <c:pt idx="12">
                  <c:v>1900000</c:v>
                </c:pt>
                <c:pt idx="13">
                  <c:v>3700000</c:v>
                </c:pt>
                <c:pt idx="14">
                  <c:v>147300</c:v>
                </c:pt>
                <c:pt idx="15">
                  <c:v>3700000</c:v>
                </c:pt>
                <c:pt idx="16">
                  <c:v>3700000</c:v>
                </c:pt>
                <c:pt idx="17">
                  <c:v>1100000</c:v>
                </c:pt>
                <c:pt idx="18">
                  <c:v>1400000</c:v>
                </c:pt>
                <c:pt idx="19">
                  <c:v>1100000</c:v>
                </c:pt>
                <c:pt idx="20">
                  <c:v>3600000</c:v>
                </c:pt>
                <c:pt idx="21">
                  <c:v>8500000</c:v>
                </c:pt>
                <c:pt idx="22">
                  <c:v>2100000</c:v>
                </c:pt>
                <c:pt idx="23">
                  <c:v>3100000</c:v>
                </c:pt>
                <c:pt idx="24">
                  <c:v>231300</c:v>
                </c:pt>
                <c:pt idx="25">
                  <c:v>513100</c:v>
                </c:pt>
                <c:pt idx="26">
                  <c:v>969700</c:v>
                </c:pt>
                <c:pt idx="27">
                  <c:v>4099999.9999999995</c:v>
                </c:pt>
                <c:pt idx="28">
                  <c:v>65099.999999999993</c:v>
                </c:pt>
                <c:pt idx="29">
                  <c:v>1900000</c:v>
                </c:pt>
                <c:pt idx="30">
                  <c:v>790200</c:v>
                </c:pt>
                <c:pt idx="31">
                  <c:v>1700000</c:v>
                </c:pt>
                <c:pt idx="32">
                  <c:v>4200000</c:v>
                </c:pt>
                <c:pt idx="33">
                  <c:v>463200</c:v>
                </c:pt>
                <c:pt idx="34">
                  <c:v>2800000</c:v>
                </c:pt>
                <c:pt idx="35">
                  <c:v>623100</c:v>
                </c:pt>
                <c:pt idx="36">
                  <c:v>2200000</c:v>
                </c:pt>
                <c:pt idx="37">
                  <c:v>8700000</c:v>
                </c:pt>
                <c:pt idx="38">
                  <c:v>815800</c:v>
                </c:pt>
                <c:pt idx="39">
                  <c:v>652500</c:v>
                </c:pt>
                <c:pt idx="40">
                  <c:v>2000000</c:v>
                </c:pt>
                <c:pt idx="41">
                  <c:v>1500000</c:v>
                </c:pt>
                <c:pt idx="42">
                  <c:v>1200000</c:v>
                </c:pt>
                <c:pt idx="43">
                  <c:v>1100000</c:v>
                </c:pt>
                <c:pt idx="44">
                  <c:v>1600000</c:v>
                </c:pt>
                <c:pt idx="45">
                  <c:v>88800</c:v>
                </c:pt>
                <c:pt idx="46">
                  <c:v>1600000</c:v>
                </c:pt>
                <c:pt idx="47">
                  <c:v>185200</c:v>
                </c:pt>
                <c:pt idx="48">
                  <c:v>1600000</c:v>
                </c:pt>
                <c:pt idx="49">
                  <c:v>2100000</c:v>
                </c:pt>
                <c:pt idx="50">
                  <c:v>1100000</c:v>
                </c:pt>
                <c:pt idx="51">
                  <c:v>1900000</c:v>
                </c:pt>
                <c:pt idx="52">
                  <c:v>1200000</c:v>
                </c:pt>
                <c:pt idx="53">
                  <c:v>1400000</c:v>
                </c:pt>
                <c:pt idx="54">
                  <c:v>763000</c:v>
                </c:pt>
                <c:pt idx="55">
                  <c:v>2200000</c:v>
                </c:pt>
                <c:pt idx="56">
                  <c:v>2500000</c:v>
                </c:pt>
                <c:pt idx="57">
                  <c:v>150500</c:v>
                </c:pt>
                <c:pt idx="58">
                  <c:v>115100</c:v>
                </c:pt>
                <c:pt idx="59">
                  <c:v>475100</c:v>
                </c:pt>
                <c:pt idx="60">
                  <c:v>2000000</c:v>
                </c:pt>
                <c:pt idx="61">
                  <c:v>4700000</c:v>
                </c:pt>
                <c:pt idx="62">
                  <c:v>88400</c:v>
                </c:pt>
                <c:pt idx="63">
                  <c:v>1600000</c:v>
                </c:pt>
                <c:pt idx="64">
                  <c:v>186400</c:v>
                </c:pt>
                <c:pt idx="65">
                  <c:v>623800</c:v>
                </c:pt>
                <c:pt idx="66">
                  <c:v>3100000</c:v>
                </c:pt>
                <c:pt idx="67">
                  <c:v>1500000</c:v>
                </c:pt>
                <c:pt idx="68">
                  <c:v>226400</c:v>
                </c:pt>
                <c:pt idx="69">
                  <c:v>14200000</c:v>
                </c:pt>
                <c:pt idx="70">
                  <c:v>1100000</c:v>
                </c:pt>
                <c:pt idx="71">
                  <c:v>1400000</c:v>
                </c:pt>
                <c:pt idx="72">
                  <c:v>1300000</c:v>
                </c:pt>
                <c:pt idx="73">
                  <c:v>878000</c:v>
                </c:pt>
                <c:pt idx="74">
                  <c:v>5100000</c:v>
                </c:pt>
                <c:pt idx="75">
                  <c:v>4600000</c:v>
                </c:pt>
                <c:pt idx="76">
                  <c:v>1700000</c:v>
                </c:pt>
                <c:pt idx="77">
                  <c:v>452600</c:v>
                </c:pt>
                <c:pt idx="78">
                  <c:v>1900000</c:v>
                </c:pt>
                <c:pt idx="79">
                  <c:v>600400</c:v>
                </c:pt>
                <c:pt idx="80">
                  <c:v>194800</c:v>
                </c:pt>
                <c:pt idx="81">
                  <c:v>2500000</c:v>
                </c:pt>
                <c:pt idx="82">
                  <c:v>736400</c:v>
                </c:pt>
                <c:pt idx="83">
                  <c:v>878500</c:v>
                </c:pt>
                <c:pt idx="84">
                  <c:v>3100000</c:v>
                </c:pt>
                <c:pt idx="85">
                  <c:v>1700000</c:v>
                </c:pt>
                <c:pt idx="86">
                  <c:v>715000</c:v>
                </c:pt>
                <c:pt idx="87">
                  <c:v>5500000</c:v>
                </c:pt>
                <c:pt idx="88">
                  <c:v>522000</c:v>
                </c:pt>
                <c:pt idx="89">
                  <c:v>685100</c:v>
                </c:pt>
                <c:pt idx="90">
                  <c:v>2400000</c:v>
                </c:pt>
                <c:pt idx="91">
                  <c:v>2600000</c:v>
                </c:pt>
                <c:pt idx="92">
                  <c:v>3500000</c:v>
                </c:pt>
                <c:pt idx="93">
                  <c:v>2100000</c:v>
                </c:pt>
                <c:pt idx="94">
                  <c:v>1800000</c:v>
                </c:pt>
                <c:pt idx="95">
                  <c:v>356800</c:v>
                </c:pt>
                <c:pt idx="96">
                  <c:v>897200</c:v>
                </c:pt>
                <c:pt idx="97">
                  <c:v>8300000.0000000009</c:v>
                </c:pt>
                <c:pt idx="98">
                  <c:v>1400000</c:v>
                </c:pt>
                <c:pt idx="99">
                  <c:v>5800000</c:v>
                </c:pt>
                <c:pt idx="100">
                  <c:v>579600</c:v>
                </c:pt>
                <c:pt idx="101">
                  <c:v>172800</c:v>
                </c:pt>
                <c:pt idx="102">
                  <c:v>2400000</c:v>
                </c:pt>
                <c:pt idx="103">
                  <c:v>6800000</c:v>
                </c:pt>
                <c:pt idx="104">
                  <c:v>395500</c:v>
                </c:pt>
                <c:pt idx="105">
                  <c:v>346700</c:v>
                </c:pt>
                <c:pt idx="106">
                  <c:v>127500</c:v>
                </c:pt>
                <c:pt idx="107">
                  <c:v>193300</c:v>
                </c:pt>
                <c:pt idx="108">
                  <c:v>801800</c:v>
                </c:pt>
                <c:pt idx="109">
                  <c:v>145400</c:v>
                </c:pt>
                <c:pt idx="110">
                  <c:v>4099999.9999999995</c:v>
                </c:pt>
                <c:pt idx="111">
                  <c:v>553000</c:v>
                </c:pt>
                <c:pt idx="112">
                  <c:v>1200000</c:v>
                </c:pt>
                <c:pt idx="113">
                  <c:v>381800</c:v>
                </c:pt>
                <c:pt idx="114">
                  <c:v>690900</c:v>
                </c:pt>
                <c:pt idx="115">
                  <c:v>1000000</c:v>
                </c:pt>
                <c:pt idx="116">
                  <c:v>586400</c:v>
                </c:pt>
                <c:pt idx="117">
                  <c:v>332300</c:v>
                </c:pt>
                <c:pt idx="118">
                  <c:v>594200</c:v>
                </c:pt>
                <c:pt idx="119">
                  <c:v>197900</c:v>
                </c:pt>
                <c:pt idx="120">
                  <c:v>700500</c:v>
                </c:pt>
                <c:pt idx="121">
                  <c:v>1300000</c:v>
                </c:pt>
                <c:pt idx="122">
                  <c:v>4000000</c:v>
                </c:pt>
                <c:pt idx="123">
                  <c:v>1800000</c:v>
                </c:pt>
                <c:pt idx="124">
                  <c:v>390400</c:v>
                </c:pt>
                <c:pt idx="125">
                  <c:v>2900000</c:v>
                </c:pt>
                <c:pt idx="126">
                  <c:v>1200000</c:v>
                </c:pt>
                <c:pt idx="127">
                  <c:v>486500</c:v>
                </c:pt>
                <c:pt idx="128">
                  <c:v>302200</c:v>
                </c:pt>
                <c:pt idx="129">
                  <c:v>189900</c:v>
                </c:pt>
                <c:pt idx="130">
                  <c:v>518100</c:v>
                </c:pt>
                <c:pt idx="131">
                  <c:v>370800</c:v>
                </c:pt>
                <c:pt idx="132">
                  <c:v>1500000</c:v>
                </c:pt>
                <c:pt idx="133">
                  <c:v>2700000</c:v>
                </c:pt>
                <c:pt idx="134">
                  <c:v>2100000</c:v>
                </c:pt>
                <c:pt idx="135">
                  <c:v>719600</c:v>
                </c:pt>
                <c:pt idx="136">
                  <c:v>381600</c:v>
                </c:pt>
                <c:pt idx="137">
                  <c:v>329000</c:v>
                </c:pt>
                <c:pt idx="138">
                  <c:v>431200</c:v>
                </c:pt>
                <c:pt idx="139">
                  <c:v>1400000</c:v>
                </c:pt>
                <c:pt idx="140">
                  <c:v>728200</c:v>
                </c:pt>
                <c:pt idx="141">
                  <c:v>367800</c:v>
                </c:pt>
                <c:pt idx="142">
                  <c:v>505700</c:v>
                </c:pt>
                <c:pt idx="143">
                  <c:v>1800000</c:v>
                </c:pt>
                <c:pt idx="144">
                  <c:v>1400000</c:v>
                </c:pt>
                <c:pt idx="145">
                  <c:v>813500</c:v>
                </c:pt>
                <c:pt idx="146">
                  <c:v>372400</c:v>
                </c:pt>
                <c:pt idx="147">
                  <c:v>118300</c:v>
                </c:pt>
                <c:pt idx="148">
                  <c:v>1600000</c:v>
                </c:pt>
                <c:pt idx="149">
                  <c:v>500500</c:v>
                </c:pt>
                <c:pt idx="150">
                  <c:v>386900</c:v>
                </c:pt>
                <c:pt idx="151">
                  <c:v>232200</c:v>
                </c:pt>
                <c:pt idx="152">
                  <c:v>1000000</c:v>
                </c:pt>
                <c:pt idx="153">
                  <c:v>996200</c:v>
                </c:pt>
                <c:pt idx="154">
                  <c:v>10900000</c:v>
                </c:pt>
                <c:pt idx="155">
                  <c:v>3000000</c:v>
                </c:pt>
                <c:pt idx="156">
                  <c:v>872900</c:v>
                </c:pt>
                <c:pt idx="157">
                  <c:v>4600000</c:v>
                </c:pt>
                <c:pt idx="158">
                  <c:v>139300</c:v>
                </c:pt>
                <c:pt idx="159">
                  <c:v>800400</c:v>
                </c:pt>
                <c:pt idx="160">
                  <c:v>6200000</c:v>
                </c:pt>
                <c:pt idx="161">
                  <c:v>1100000</c:v>
                </c:pt>
                <c:pt idx="162">
                  <c:v>1300000</c:v>
                </c:pt>
                <c:pt idx="163">
                  <c:v>975100</c:v>
                </c:pt>
                <c:pt idx="164">
                  <c:v>3500000</c:v>
                </c:pt>
                <c:pt idx="165">
                  <c:v>732400</c:v>
                </c:pt>
                <c:pt idx="166">
                  <c:v>1600000</c:v>
                </c:pt>
                <c:pt idx="167">
                  <c:v>420000</c:v>
                </c:pt>
                <c:pt idx="168">
                  <c:v>203700</c:v>
                </c:pt>
                <c:pt idx="169">
                  <c:v>264700</c:v>
                </c:pt>
                <c:pt idx="170">
                  <c:v>4500000</c:v>
                </c:pt>
                <c:pt idx="171">
                  <c:v>1100000</c:v>
                </c:pt>
                <c:pt idx="172">
                  <c:v>764000</c:v>
                </c:pt>
                <c:pt idx="173">
                  <c:v>959800</c:v>
                </c:pt>
                <c:pt idx="174">
                  <c:v>2400000</c:v>
                </c:pt>
                <c:pt idx="175">
                  <c:v>715500</c:v>
                </c:pt>
                <c:pt idx="176">
                  <c:v>420500</c:v>
                </c:pt>
                <c:pt idx="177">
                  <c:v>1100000</c:v>
                </c:pt>
                <c:pt idx="178">
                  <c:v>1900000</c:v>
                </c:pt>
                <c:pt idx="179">
                  <c:v>1100000</c:v>
                </c:pt>
                <c:pt idx="180">
                  <c:v>15400000</c:v>
                </c:pt>
                <c:pt idx="181">
                  <c:v>1100000</c:v>
                </c:pt>
                <c:pt idx="182">
                  <c:v>5400000</c:v>
                </c:pt>
                <c:pt idx="183">
                  <c:v>597200</c:v>
                </c:pt>
                <c:pt idx="184">
                  <c:v>3000000</c:v>
                </c:pt>
                <c:pt idx="185">
                  <c:v>1400000</c:v>
                </c:pt>
                <c:pt idx="186">
                  <c:v>633900</c:v>
                </c:pt>
                <c:pt idx="187">
                  <c:v>1100000</c:v>
                </c:pt>
                <c:pt idx="188">
                  <c:v>147000</c:v>
                </c:pt>
                <c:pt idx="189">
                  <c:v>1400000</c:v>
                </c:pt>
                <c:pt idx="190">
                  <c:v>3500000</c:v>
                </c:pt>
                <c:pt idx="191">
                  <c:v>256100.00000000003</c:v>
                </c:pt>
                <c:pt idx="192">
                  <c:v>1600000</c:v>
                </c:pt>
                <c:pt idx="193">
                  <c:v>1400000</c:v>
                </c:pt>
                <c:pt idx="194">
                  <c:v>398700</c:v>
                </c:pt>
                <c:pt idx="195">
                  <c:v>157400</c:v>
                </c:pt>
                <c:pt idx="196">
                  <c:v>2300000</c:v>
                </c:pt>
                <c:pt idx="197">
                  <c:v>4700000</c:v>
                </c:pt>
                <c:pt idx="198">
                  <c:v>5800000</c:v>
                </c:pt>
                <c:pt idx="199">
                  <c:v>1100000</c:v>
                </c:pt>
              </c:numCache>
            </c:numRef>
          </c:val>
          <c:extLst>
            <c:ext xmlns:c16="http://schemas.microsoft.com/office/drawing/2014/chart" uri="{C3380CC4-5D6E-409C-BE32-E72D297353CC}">
              <c16:uniqueId val="{00000000-3C1D-47E1-85F8-33931FC96879}"/>
            </c:ext>
          </c:extLst>
        </c:ser>
        <c:ser>
          <c:idx val="1"/>
          <c:order val="1"/>
          <c:tx>
            <c:strRef>
              <c:f>'Average Likes vs Followers'!$C$3</c:f>
              <c:strCache>
                <c:ptCount val="1"/>
                <c:pt idx="0">
                  <c:v>Sum of Followers Numeric</c:v>
                </c:pt>
              </c:strCache>
            </c:strRef>
          </c:tx>
          <c:spPr>
            <a:solidFill>
              <a:schemeClr val="accent2"/>
            </a:solidFill>
            <a:ln>
              <a:noFill/>
            </a:ln>
            <a:effectLst/>
          </c:spPr>
          <c:invertIfNegative val="0"/>
          <c:cat>
            <c:strRef>
              <c:f>'Average Likes vs Followers'!$A$4:$A$204</c:f>
              <c:strCache>
                <c:ptCount val="200"/>
                <c:pt idx="0">
                  <c:v>433</c:v>
                </c:pt>
                <c:pt idx="1">
                  <c:v>5-Minute Crafts GIRLY</c:v>
                </c:pt>
                <c:pt idx="2">
                  <c:v>9gag</c:v>
                </c:pt>
                <c:pt idx="3">
                  <c:v>addisonraee</c:v>
                </c:pt>
                <c:pt idx="4">
                  <c:v>adele</c:v>
                </c:pt>
                <c:pt idx="5">
                  <c:v>adidasoriginals</c:v>
                </c:pt>
                <c:pt idx="6">
                  <c:v>akshaykumar</c:v>
                </c:pt>
                <c:pt idx="7">
                  <c:v>aliaabhatt</c:v>
                </c:pt>
                <c:pt idx="8">
                  <c:v>andresiniesta8</c:v>
                </c:pt>
                <c:pt idx="9">
                  <c:v>anitta</c:v>
                </c:pt>
                <c:pt idx="10">
                  <c:v>antogriezmann</c:v>
                </c:pt>
                <c:pt idx="11">
                  <c:v>anushkasen0408</c:v>
                </c:pt>
                <c:pt idx="12">
                  <c:v>anushkasharma</c:v>
                </c:pt>
                <c:pt idx="13">
                  <c:v>arianagrande</c:v>
                </c:pt>
                <c:pt idx="14">
                  <c:v>ayutingting92</c:v>
                </c:pt>
                <c:pt idx="15">
                  <c:v>badbunnypr</c:v>
                </c:pt>
                <c:pt idx="16">
                  <c:v>badgalriri</c:v>
                </c:pt>
                <c:pt idx="17">
                  <c:v>barackobama</c:v>
                </c:pt>
                <c:pt idx="18">
                  <c:v>beingsalmankhan</c:v>
                </c:pt>
                <c:pt idx="19">
                  <c:v>bellahadid</c:v>
                </c:pt>
                <c:pt idx="20">
                  <c:v>beyonce</c:v>
                </c:pt>
                <c:pt idx="21">
                  <c:v>billieeilish</c:v>
                </c:pt>
                <c:pt idx="22">
                  <c:v>blackpinkofficial</c:v>
                </c:pt>
                <c:pt idx="23">
                  <c:v>blakelively</c:v>
                </c:pt>
                <c:pt idx="24">
                  <c:v>bmw</c:v>
                </c:pt>
                <c:pt idx="25">
                  <c:v>britneyspears</c:v>
                </c:pt>
                <c:pt idx="26">
                  <c:v>brunamarquezine</c:v>
                </c:pt>
                <c:pt idx="27">
                  <c:v>bts.bighitofficial</c:v>
                </c:pt>
                <c:pt idx="28">
                  <c:v>buzzfeedtasty</c:v>
                </c:pt>
                <c:pt idx="29">
                  <c:v>camila_cabello</c:v>
                </c:pt>
                <c:pt idx="30">
                  <c:v>caradelevingne</c:v>
                </c:pt>
                <c:pt idx="31">
                  <c:v>champagnepapi</c:v>
                </c:pt>
                <c:pt idx="32">
                  <c:v>charlidamelio</c:v>
                </c:pt>
                <c:pt idx="33">
                  <c:v>chrisbrownofficial</c:v>
                </c:pt>
                <c:pt idx="34">
                  <c:v>chrishemsworth</c:v>
                </c:pt>
                <c:pt idx="35">
                  <c:v>chrissyteigen</c:v>
                </c:pt>
                <c:pt idx="36">
                  <c:v>colesprouse</c:v>
                </c:pt>
                <c:pt idx="37">
                  <c:v>cristiano</c:v>
                </c:pt>
                <c:pt idx="38">
                  <c:v>cznburak</c:v>
                </c:pt>
                <c:pt idx="39">
                  <c:v>daddyyankee</c:v>
                </c:pt>
                <c:pt idx="40">
                  <c:v>danbilzerian</c:v>
                </c:pt>
                <c:pt idx="41">
                  <c:v>dannapaola</c:v>
                </c:pt>
                <c:pt idx="42">
                  <c:v>davidbeckham</c:v>
                </c:pt>
                <c:pt idx="43">
                  <c:v>ddlovato</c:v>
                </c:pt>
                <c:pt idx="44">
                  <c:v>deepikapadukone</c:v>
                </c:pt>
                <c:pt idx="45">
                  <c:v>dior</c:v>
                </c:pt>
                <c:pt idx="46">
                  <c:v>dishapatani</c:v>
                </c:pt>
                <c:pt idx="47">
                  <c:v>disney</c:v>
                </c:pt>
                <c:pt idx="48">
                  <c:v>dovecameron</c:v>
                </c:pt>
                <c:pt idx="49">
                  <c:v>dualipa</c:v>
                </c:pt>
                <c:pt idx="50">
                  <c:v>eminem</c:v>
                </c:pt>
                <c:pt idx="51">
                  <c:v>emmawatson</c:v>
                </c:pt>
                <c:pt idx="52">
                  <c:v>fcbarcelona</c:v>
                </c:pt>
                <c:pt idx="53">
                  <c:v>gal_gadot</c:v>
                </c:pt>
                <c:pt idx="54">
                  <c:v>garethbale11</c:v>
                </c:pt>
                <c:pt idx="55">
                  <c:v>georginagio</c:v>
                </c:pt>
                <c:pt idx="56">
                  <c:v>gigihadid</c:v>
                </c:pt>
                <c:pt idx="57">
                  <c:v>gisel_la</c:v>
                </c:pt>
                <c:pt idx="58">
                  <c:v>gucci</c:v>
                </c:pt>
                <c:pt idx="59">
                  <c:v>gusttavolima</c:v>
                </c:pt>
                <c:pt idx="60">
                  <c:v>haileybieber</c:v>
                </c:pt>
                <c:pt idx="61">
                  <c:v>harrystyles</c:v>
                </c:pt>
                <c:pt idx="62">
                  <c:v>hm</c:v>
                </c:pt>
                <c:pt idx="63">
                  <c:v>hrithikroshan</c:v>
                </c:pt>
                <c:pt idx="64">
                  <c:v>hudabeauty</c:v>
                </c:pt>
                <c:pt idx="65">
                  <c:v>iambeckyg</c:v>
                </c:pt>
                <c:pt idx="66">
                  <c:v>iamcardib</c:v>
                </c:pt>
                <c:pt idx="67">
                  <c:v>iamzlatanibrahimovic</c:v>
                </c:pt>
                <c:pt idx="68">
                  <c:v>ivetesangalo</c:v>
                </c:pt>
                <c:pt idx="69">
                  <c:v>j.m</c:v>
                </c:pt>
                <c:pt idx="70">
                  <c:v>jacquelinef143</c:v>
                </c:pt>
                <c:pt idx="71">
                  <c:v>jamesrodriguez10</c:v>
                </c:pt>
                <c:pt idx="72">
                  <c:v>jannatzubair29</c:v>
                </c:pt>
                <c:pt idx="73">
                  <c:v>jbalvin</c:v>
                </c:pt>
                <c:pt idx="74">
                  <c:v>jennierubyjane</c:v>
                </c:pt>
                <c:pt idx="75">
                  <c:v>jenniferaniston</c:v>
                </c:pt>
                <c:pt idx="76">
                  <c:v>jlo</c:v>
                </c:pt>
                <c:pt idx="77">
                  <c:v>jokowi</c:v>
                </c:pt>
                <c:pt idx="78">
                  <c:v>justinbieber</c:v>
                </c:pt>
                <c:pt idx="79">
                  <c:v>justintimberlake</c:v>
                </c:pt>
                <c:pt idx="80">
                  <c:v>juventus</c:v>
                </c:pt>
                <c:pt idx="81">
                  <c:v>k.mbappe</c:v>
                </c:pt>
                <c:pt idx="82">
                  <c:v>kapilsharma</c:v>
                </c:pt>
                <c:pt idx="83">
                  <c:v>karimbenzema</c:v>
                </c:pt>
                <c:pt idx="84">
                  <c:v>karolg</c:v>
                </c:pt>
                <c:pt idx="85">
                  <c:v>katrinakaif</c:v>
                </c:pt>
                <c:pt idx="86">
                  <c:v>katyperry</c:v>
                </c:pt>
                <c:pt idx="87">
                  <c:v>kendalljenner</c:v>
                </c:pt>
                <c:pt idx="88">
                  <c:v>kevinhart4real</c:v>
                </c:pt>
                <c:pt idx="89">
                  <c:v>khabib_nurmagomedov</c:v>
                </c:pt>
                <c:pt idx="90">
                  <c:v>khloekardashian</c:v>
                </c:pt>
                <c:pt idx="91">
                  <c:v>kimberly.loaiza</c:v>
                </c:pt>
                <c:pt idx="92">
                  <c:v>kimkardashian</c:v>
                </c:pt>
                <c:pt idx="93">
                  <c:v>kingjames</c:v>
                </c:pt>
                <c:pt idx="94">
                  <c:v>kourtneykardash</c:v>
                </c:pt>
                <c:pt idx="95">
                  <c:v>krisjenner</c:v>
                </c:pt>
                <c:pt idx="96">
                  <c:v>kritisanon</c:v>
                </c:pt>
                <c:pt idx="97">
                  <c:v>kyliejenner</c:v>
                </c:pt>
                <c:pt idx="98">
                  <c:v>ladygaga</c:v>
                </c:pt>
                <c:pt idx="99">
                  <c:v>lalalalisa_m</c:v>
                </c:pt>
                <c:pt idx="100">
                  <c:v>larissamanoela</c:v>
                </c:pt>
                <c:pt idx="101">
                  <c:v>laudyacynthiabella</c:v>
                </c:pt>
                <c:pt idx="102">
                  <c:v>lelepons</c:v>
                </c:pt>
                <c:pt idx="103">
                  <c:v>leomessi</c:v>
                </c:pt>
                <c:pt idx="104">
                  <c:v>leonardodicaprio</c:v>
                </c:pt>
                <c:pt idx="105">
                  <c:v>liverpoolfc</c:v>
                </c:pt>
                <c:pt idx="106">
                  <c:v>louisvuitton</c:v>
                </c:pt>
                <c:pt idx="107">
                  <c:v>luansantana</c:v>
                </c:pt>
                <c:pt idx="108">
                  <c:v>luissuarez9</c:v>
                </c:pt>
                <c:pt idx="109">
                  <c:v>lunamaya</c:v>
                </c:pt>
                <c:pt idx="110">
                  <c:v>mahi7781</c:v>
                </c:pt>
                <c:pt idx="111">
                  <c:v>maisa</c:v>
                </c:pt>
                <c:pt idx="112">
                  <c:v>maluma</c:v>
                </c:pt>
                <c:pt idx="113">
                  <c:v>manchesterunited</c:v>
                </c:pt>
                <c:pt idx="114">
                  <c:v>marcelotwelve</c:v>
                </c:pt>
                <c:pt idx="115">
                  <c:v>mariliamendoncacantora</c:v>
                </c:pt>
                <c:pt idx="116">
                  <c:v>marinaruybarbosa</c:v>
                </c:pt>
                <c:pt idx="117">
                  <c:v>marvel</c:v>
                </c:pt>
                <c:pt idx="118">
                  <c:v>marvelstudios</c:v>
                </c:pt>
                <c:pt idx="119">
                  <c:v>mercedesbenz</c:v>
                </c:pt>
                <c:pt idx="120">
                  <c:v>michelleobama</c:v>
                </c:pt>
                <c:pt idx="121">
                  <c:v>mileycyrus</c:v>
                </c:pt>
                <c:pt idx="122">
                  <c:v>milliebobbybrown</c:v>
                </c:pt>
                <c:pt idx="123">
                  <c:v>mosalah</c:v>
                </c:pt>
                <c:pt idx="124">
                  <c:v>nancyajram</c:v>
                </c:pt>
                <c:pt idx="125">
                  <c:v>narendramodi</c:v>
                </c:pt>
                <c:pt idx="126">
                  <c:v>nasa</c:v>
                </c:pt>
                <c:pt idx="127">
                  <c:v>natashawilona12</c:v>
                </c:pt>
                <c:pt idx="128">
                  <c:v>natgeo</c:v>
                </c:pt>
                <c:pt idx="129">
                  <c:v>natgeotravel</c:v>
                </c:pt>
                <c:pt idx="130">
                  <c:v>nattinatasha</c:v>
                </c:pt>
                <c:pt idx="131">
                  <c:v>nba</c:v>
                </c:pt>
                <c:pt idx="132">
                  <c:v>nehakakkar</c:v>
                </c:pt>
                <c:pt idx="133">
                  <c:v>neymarjr</c:v>
                </c:pt>
                <c:pt idx="134">
                  <c:v>nickiminaj</c:v>
                </c:pt>
                <c:pt idx="135">
                  <c:v>nickjonas</c:v>
                </c:pt>
                <c:pt idx="136">
                  <c:v>nickyjampr</c:v>
                </c:pt>
                <c:pt idx="137">
                  <c:v>nike</c:v>
                </c:pt>
                <c:pt idx="138">
                  <c:v>nikefootball</c:v>
                </c:pt>
                <c:pt idx="139">
                  <c:v>norafatehi</c:v>
                </c:pt>
                <c:pt idx="140">
                  <c:v>nusr_et</c:v>
                </c:pt>
                <c:pt idx="141">
                  <c:v>paollaoliveirareal</c:v>
                </c:pt>
                <c:pt idx="142">
                  <c:v>parineetichopra</c:v>
                </c:pt>
                <c:pt idx="143">
                  <c:v>paulodybala</c:v>
                </c:pt>
                <c:pt idx="144">
                  <c:v>paulpogba</c:v>
                </c:pt>
                <c:pt idx="145">
                  <c:v>prattprattpratt</c:v>
                </c:pt>
                <c:pt idx="146">
                  <c:v>prillylatuconsina96</c:v>
                </c:pt>
                <c:pt idx="147">
                  <c:v>princessyahrini</c:v>
                </c:pt>
                <c:pt idx="148">
                  <c:v>priyankachopra</c:v>
                </c:pt>
                <c:pt idx="149">
                  <c:v>psg</c:v>
                </c:pt>
                <c:pt idx="150">
                  <c:v>raffinagita1717</c:v>
                </c:pt>
                <c:pt idx="151">
                  <c:v>raisa6690</c:v>
                </c:pt>
                <c:pt idx="152">
                  <c:v>ranveersingh</c:v>
                </c:pt>
                <c:pt idx="153">
                  <c:v>realmadrid</c:v>
                </c:pt>
                <c:pt idx="154">
                  <c:v>rkive</c:v>
                </c:pt>
                <c:pt idx="155">
                  <c:v>robertdowneyjr</c:v>
                </c:pt>
                <c:pt idx="156">
                  <c:v>ronaldinho</c:v>
                </c:pt>
                <c:pt idx="157">
                  <c:v>roses_are_rosie</c:v>
                </c:pt>
                <c:pt idx="158">
                  <c:v>ruben_onsu</c:v>
                </c:pt>
                <c:pt idx="159">
                  <c:v>sachintendulkar</c:v>
                </c:pt>
                <c:pt idx="160">
                  <c:v>selenagomez</c:v>
                </c:pt>
                <c:pt idx="161">
                  <c:v>sergioramos</c:v>
                </c:pt>
                <c:pt idx="162">
                  <c:v>shahidkapoor</c:v>
                </c:pt>
                <c:pt idx="163">
                  <c:v>Shakira</c:v>
                </c:pt>
                <c:pt idx="164">
                  <c:v>shawnmendes</c:v>
                </c:pt>
                <c:pt idx="165">
                  <c:v>shaymitchell</c:v>
                </c:pt>
                <c:pt idx="166">
                  <c:v>shraddhakapoor</c:v>
                </c:pt>
                <c:pt idx="167">
                  <c:v>simonemendes</c:v>
                </c:pt>
                <c:pt idx="168">
                  <c:v>snoopdogg</c:v>
                </c:pt>
                <c:pt idx="169">
                  <c:v>sonamkapoor</c:v>
                </c:pt>
                <c:pt idx="170">
                  <c:v>sooyaaa__</c:v>
                </c:pt>
                <c:pt idx="171">
                  <c:v>stephencurry30</c:v>
                </c:pt>
                <c:pt idx="172">
                  <c:v>sunnyleone</c:v>
                </c:pt>
                <c:pt idx="173">
                  <c:v>tatawerneck</c:v>
                </c:pt>
                <c:pt idx="174">
                  <c:v>taylorswift</c:v>
                </c:pt>
                <c:pt idx="175">
                  <c:v>teddysphotos</c:v>
                </c:pt>
                <c:pt idx="176">
                  <c:v>theellenshow</c:v>
                </c:pt>
                <c:pt idx="177">
                  <c:v>thenotoriousmma</c:v>
                </c:pt>
                <c:pt idx="178">
                  <c:v>therock</c:v>
                </c:pt>
                <c:pt idx="179">
                  <c:v>theweeknd</c:v>
                </c:pt>
                <c:pt idx="180">
                  <c:v>thv</c:v>
                </c:pt>
                <c:pt idx="181">
                  <c:v>tigerjackieshroff</c:v>
                </c:pt>
                <c:pt idx="182">
                  <c:v>tomholland2013</c:v>
                </c:pt>
                <c:pt idx="183">
                  <c:v>toni.kr8s</c:v>
                </c:pt>
                <c:pt idx="184">
                  <c:v>travisscott</c:v>
                </c:pt>
                <c:pt idx="185">
                  <c:v>vancityreynolds</c:v>
                </c:pt>
                <c:pt idx="186">
                  <c:v>vanessahudgens</c:v>
                </c:pt>
                <c:pt idx="187">
                  <c:v>varundvn</c:v>
                </c:pt>
                <c:pt idx="188">
                  <c:v>victoriassecret</c:v>
                </c:pt>
                <c:pt idx="189">
                  <c:v>vindiesel</c:v>
                </c:pt>
                <c:pt idx="190">
                  <c:v>virat.kohli</c:v>
                </c:pt>
                <c:pt idx="191">
                  <c:v>wesleysafadao</c:v>
                </c:pt>
                <c:pt idx="192">
                  <c:v>whinderssonnunes</c:v>
                </c:pt>
                <c:pt idx="193">
                  <c:v>willsmith</c:v>
                </c:pt>
                <c:pt idx="194">
                  <c:v>wizkhalifa</c:v>
                </c:pt>
                <c:pt idx="195">
                  <c:v>worldstar</c:v>
                </c:pt>
                <c:pt idx="196">
                  <c:v>zacefron</c:v>
                </c:pt>
                <c:pt idx="197">
                  <c:v>zayn</c:v>
                </c:pt>
                <c:pt idx="198">
                  <c:v>zendaya</c:v>
                </c:pt>
                <c:pt idx="199">
                  <c:v>zidane</c:v>
                </c:pt>
              </c:strCache>
            </c:strRef>
          </c:cat>
          <c:val>
            <c:numRef>
              <c:f>'Average Likes vs Followers'!$C$4:$C$204</c:f>
              <c:numCache>
                <c:formatCode>#,##0.00</c:formatCode>
                <c:ptCount val="200"/>
                <c:pt idx="0">
                  <c:v>51200000</c:v>
                </c:pt>
                <c:pt idx="1">
                  <c:v>46500000</c:v>
                </c:pt>
                <c:pt idx="2">
                  <c:v>58100000</c:v>
                </c:pt>
                <c:pt idx="3">
                  <c:v>40100000</c:v>
                </c:pt>
                <c:pt idx="4">
                  <c:v>50700000</c:v>
                </c:pt>
                <c:pt idx="5">
                  <c:v>34200000</c:v>
                </c:pt>
                <c:pt idx="6">
                  <c:v>62800000</c:v>
                </c:pt>
                <c:pt idx="7">
                  <c:v>68700000</c:v>
                </c:pt>
                <c:pt idx="8">
                  <c:v>40000000</c:v>
                </c:pt>
                <c:pt idx="9">
                  <c:v>63100000</c:v>
                </c:pt>
                <c:pt idx="10">
                  <c:v>36500000</c:v>
                </c:pt>
                <c:pt idx="11">
                  <c:v>38300000</c:v>
                </c:pt>
                <c:pt idx="12">
                  <c:v>59500000</c:v>
                </c:pt>
                <c:pt idx="13">
                  <c:v>327700000</c:v>
                </c:pt>
                <c:pt idx="14">
                  <c:v>52400000</c:v>
                </c:pt>
                <c:pt idx="15">
                  <c:v>42100000</c:v>
                </c:pt>
                <c:pt idx="16">
                  <c:v>135300000</c:v>
                </c:pt>
                <c:pt idx="17">
                  <c:v>35400000</c:v>
                </c:pt>
                <c:pt idx="18">
                  <c:v>53500000</c:v>
                </c:pt>
                <c:pt idx="19">
                  <c:v>54100000</c:v>
                </c:pt>
                <c:pt idx="20">
                  <c:v>272800000</c:v>
                </c:pt>
                <c:pt idx="21">
                  <c:v>105200000</c:v>
                </c:pt>
                <c:pt idx="22">
                  <c:v>48200000</c:v>
                </c:pt>
                <c:pt idx="23">
                  <c:v>34600000</c:v>
                </c:pt>
                <c:pt idx="24">
                  <c:v>33700000</c:v>
                </c:pt>
                <c:pt idx="25">
                  <c:v>42100000</c:v>
                </c:pt>
                <c:pt idx="26">
                  <c:v>43100000</c:v>
                </c:pt>
                <c:pt idx="27">
                  <c:v>66900000.000000007</c:v>
                </c:pt>
                <c:pt idx="28">
                  <c:v>43200000</c:v>
                </c:pt>
                <c:pt idx="29">
                  <c:v>65000000</c:v>
                </c:pt>
                <c:pt idx="30">
                  <c:v>42900000</c:v>
                </c:pt>
                <c:pt idx="31">
                  <c:v>119600000</c:v>
                </c:pt>
                <c:pt idx="32">
                  <c:v>49100000</c:v>
                </c:pt>
                <c:pt idx="33">
                  <c:v>118500000</c:v>
                </c:pt>
                <c:pt idx="34">
                  <c:v>55900000</c:v>
                </c:pt>
                <c:pt idx="35">
                  <c:v>38900000</c:v>
                </c:pt>
                <c:pt idx="36">
                  <c:v>35900000</c:v>
                </c:pt>
                <c:pt idx="37">
                  <c:v>475800000</c:v>
                </c:pt>
                <c:pt idx="38">
                  <c:v>39000000</c:v>
                </c:pt>
                <c:pt idx="39">
                  <c:v>45900000</c:v>
                </c:pt>
                <c:pt idx="40">
                  <c:v>33600000</c:v>
                </c:pt>
                <c:pt idx="41">
                  <c:v>34700000</c:v>
                </c:pt>
                <c:pt idx="42">
                  <c:v>74900000</c:v>
                </c:pt>
                <c:pt idx="43">
                  <c:v>139100000</c:v>
                </c:pt>
                <c:pt idx="44">
                  <c:v>68400000</c:v>
                </c:pt>
                <c:pt idx="45">
                  <c:v>41500000</c:v>
                </c:pt>
                <c:pt idx="46">
                  <c:v>53000000</c:v>
                </c:pt>
                <c:pt idx="47">
                  <c:v>34200000</c:v>
                </c:pt>
                <c:pt idx="48">
                  <c:v>48200000</c:v>
                </c:pt>
                <c:pt idx="49">
                  <c:v>85900000</c:v>
                </c:pt>
                <c:pt idx="50">
                  <c:v>36400000</c:v>
                </c:pt>
                <c:pt idx="51">
                  <c:v>67300000</c:v>
                </c:pt>
                <c:pt idx="52">
                  <c:v>111400000</c:v>
                </c:pt>
                <c:pt idx="53">
                  <c:v>85600000</c:v>
                </c:pt>
                <c:pt idx="54">
                  <c:v>48100000</c:v>
                </c:pt>
                <c:pt idx="55">
                  <c:v>39100000</c:v>
                </c:pt>
                <c:pt idx="56">
                  <c:v>75300000</c:v>
                </c:pt>
                <c:pt idx="57">
                  <c:v>36500000</c:v>
                </c:pt>
                <c:pt idx="58">
                  <c:v>49000000</c:v>
                </c:pt>
                <c:pt idx="59">
                  <c:v>43900000</c:v>
                </c:pt>
                <c:pt idx="60">
                  <c:v>46900000</c:v>
                </c:pt>
                <c:pt idx="61">
                  <c:v>46900000</c:v>
                </c:pt>
                <c:pt idx="62">
                  <c:v>38500000</c:v>
                </c:pt>
                <c:pt idx="63">
                  <c:v>43700000</c:v>
                </c:pt>
                <c:pt idx="64">
                  <c:v>50800000</c:v>
                </c:pt>
                <c:pt idx="65">
                  <c:v>33200000.000000004</c:v>
                </c:pt>
                <c:pt idx="66">
                  <c:v>140500000</c:v>
                </c:pt>
                <c:pt idx="67">
                  <c:v>55100000</c:v>
                </c:pt>
                <c:pt idx="68">
                  <c:v>34800000</c:v>
                </c:pt>
                <c:pt idx="69">
                  <c:v>41900000</c:v>
                </c:pt>
                <c:pt idx="70">
                  <c:v>62700000</c:v>
                </c:pt>
                <c:pt idx="71">
                  <c:v>49900000</c:v>
                </c:pt>
                <c:pt idx="72">
                  <c:v>43800000</c:v>
                </c:pt>
                <c:pt idx="73">
                  <c:v>52800000</c:v>
                </c:pt>
                <c:pt idx="74">
                  <c:v>68900000</c:v>
                </c:pt>
                <c:pt idx="75">
                  <c:v>40700000</c:v>
                </c:pt>
                <c:pt idx="76">
                  <c:v>220400000</c:v>
                </c:pt>
                <c:pt idx="77">
                  <c:v>47700000</c:v>
                </c:pt>
                <c:pt idx="78">
                  <c:v>254500000</c:v>
                </c:pt>
                <c:pt idx="79">
                  <c:v>65900000.000000007</c:v>
                </c:pt>
                <c:pt idx="80">
                  <c:v>54500000</c:v>
                </c:pt>
                <c:pt idx="81">
                  <c:v>72700000</c:v>
                </c:pt>
                <c:pt idx="82">
                  <c:v>42200000</c:v>
                </c:pt>
                <c:pt idx="83">
                  <c:v>56900000</c:v>
                </c:pt>
                <c:pt idx="84">
                  <c:v>55600000</c:v>
                </c:pt>
                <c:pt idx="85">
                  <c:v>66300000</c:v>
                </c:pt>
                <c:pt idx="86">
                  <c:v>170300000</c:v>
                </c:pt>
                <c:pt idx="87">
                  <c:v>254000000</c:v>
                </c:pt>
                <c:pt idx="88">
                  <c:v>152000000</c:v>
                </c:pt>
                <c:pt idx="89">
                  <c:v>33500000</c:v>
                </c:pt>
                <c:pt idx="90">
                  <c:v>268300000</c:v>
                </c:pt>
                <c:pt idx="91">
                  <c:v>35500000</c:v>
                </c:pt>
                <c:pt idx="92">
                  <c:v>329200000</c:v>
                </c:pt>
                <c:pt idx="93">
                  <c:v>130900000</c:v>
                </c:pt>
                <c:pt idx="94">
                  <c:v>195200000</c:v>
                </c:pt>
                <c:pt idx="95">
                  <c:v>49700000</c:v>
                </c:pt>
                <c:pt idx="96">
                  <c:v>50200000</c:v>
                </c:pt>
                <c:pt idx="97">
                  <c:v>366200000</c:v>
                </c:pt>
                <c:pt idx="98">
                  <c:v>53200000</c:v>
                </c:pt>
                <c:pt idx="99">
                  <c:v>80900000</c:v>
                </c:pt>
                <c:pt idx="100">
                  <c:v>46500000</c:v>
                </c:pt>
                <c:pt idx="101">
                  <c:v>36900000</c:v>
                </c:pt>
                <c:pt idx="102">
                  <c:v>49200000</c:v>
                </c:pt>
                <c:pt idx="103">
                  <c:v>357300000</c:v>
                </c:pt>
                <c:pt idx="104">
                  <c:v>54600000</c:v>
                </c:pt>
                <c:pt idx="105">
                  <c:v>39900000</c:v>
                </c:pt>
                <c:pt idx="106">
                  <c:v>48700000</c:v>
                </c:pt>
                <c:pt idx="107">
                  <c:v>33200000.000000004</c:v>
                </c:pt>
                <c:pt idx="108">
                  <c:v>44200000</c:v>
                </c:pt>
                <c:pt idx="109">
                  <c:v>34800000</c:v>
                </c:pt>
                <c:pt idx="110">
                  <c:v>39100000</c:v>
                </c:pt>
                <c:pt idx="111">
                  <c:v>44500000</c:v>
                </c:pt>
                <c:pt idx="112">
                  <c:v>62800000</c:v>
                </c:pt>
                <c:pt idx="113">
                  <c:v>59600000</c:v>
                </c:pt>
                <c:pt idx="114">
                  <c:v>58100000</c:v>
                </c:pt>
                <c:pt idx="115">
                  <c:v>41800000</c:v>
                </c:pt>
                <c:pt idx="116">
                  <c:v>40700000</c:v>
                </c:pt>
                <c:pt idx="117">
                  <c:v>66200000</c:v>
                </c:pt>
                <c:pt idx="118">
                  <c:v>38100000</c:v>
                </c:pt>
                <c:pt idx="119">
                  <c:v>36000000</c:v>
                </c:pt>
                <c:pt idx="120">
                  <c:v>50700000</c:v>
                </c:pt>
                <c:pt idx="121">
                  <c:v>181500000</c:v>
                </c:pt>
                <c:pt idx="122">
                  <c:v>57600000</c:v>
                </c:pt>
                <c:pt idx="123">
                  <c:v>52500000</c:v>
                </c:pt>
                <c:pt idx="124">
                  <c:v>33200000.000000004</c:v>
                </c:pt>
                <c:pt idx="125">
                  <c:v>68900000</c:v>
                </c:pt>
                <c:pt idx="126">
                  <c:v>81300000</c:v>
                </c:pt>
                <c:pt idx="127">
                  <c:v>39200000</c:v>
                </c:pt>
                <c:pt idx="128">
                  <c:v>237000000</c:v>
                </c:pt>
                <c:pt idx="129">
                  <c:v>45800000</c:v>
                </c:pt>
                <c:pt idx="130">
                  <c:v>35900000</c:v>
                </c:pt>
                <c:pt idx="131">
                  <c:v>70100000</c:v>
                </c:pt>
                <c:pt idx="132">
                  <c:v>70400000</c:v>
                </c:pt>
                <c:pt idx="133">
                  <c:v>177100000</c:v>
                </c:pt>
                <c:pt idx="134">
                  <c:v>201600000</c:v>
                </c:pt>
                <c:pt idx="135">
                  <c:v>33000000</c:v>
                </c:pt>
                <c:pt idx="136">
                  <c:v>43400000</c:v>
                </c:pt>
                <c:pt idx="137">
                  <c:v>234100000</c:v>
                </c:pt>
                <c:pt idx="138">
                  <c:v>45400000</c:v>
                </c:pt>
                <c:pt idx="139">
                  <c:v>41600000</c:v>
                </c:pt>
                <c:pt idx="140">
                  <c:v>47300000</c:v>
                </c:pt>
                <c:pt idx="141">
                  <c:v>34700000</c:v>
                </c:pt>
                <c:pt idx="142">
                  <c:v>37400000</c:v>
                </c:pt>
                <c:pt idx="143">
                  <c:v>48300000</c:v>
                </c:pt>
                <c:pt idx="144">
                  <c:v>55200000</c:v>
                </c:pt>
                <c:pt idx="145">
                  <c:v>38300000</c:v>
                </c:pt>
                <c:pt idx="146">
                  <c:v>48900000</c:v>
                </c:pt>
                <c:pt idx="147">
                  <c:v>40000000</c:v>
                </c:pt>
                <c:pt idx="148">
                  <c:v>81100000</c:v>
                </c:pt>
                <c:pt idx="149">
                  <c:v>61900000</c:v>
                </c:pt>
                <c:pt idx="150">
                  <c:v>63500000</c:v>
                </c:pt>
                <c:pt idx="151">
                  <c:v>32799999.999999996</c:v>
                </c:pt>
                <c:pt idx="152">
                  <c:v>40800000</c:v>
                </c:pt>
                <c:pt idx="153">
                  <c:v>123400000</c:v>
                </c:pt>
                <c:pt idx="154">
                  <c:v>37000000</c:v>
                </c:pt>
                <c:pt idx="155">
                  <c:v>53400000</c:v>
                </c:pt>
                <c:pt idx="156">
                  <c:v>67700000</c:v>
                </c:pt>
                <c:pt idx="157">
                  <c:v>61800000</c:v>
                </c:pt>
                <c:pt idx="158">
                  <c:v>38800000</c:v>
                </c:pt>
                <c:pt idx="159">
                  <c:v>35300000</c:v>
                </c:pt>
                <c:pt idx="160">
                  <c:v>342700000</c:v>
                </c:pt>
                <c:pt idx="161">
                  <c:v>52800000</c:v>
                </c:pt>
                <c:pt idx="162">
                  <c:v>35600000</c:v>
                </c:pt>
                <c:pt idx="163">
                  <c:v>76100000</c:v>
                </c:pt>
                <c:pt idx="164">
                  <c:v>69900000</c:v>
                </c:pt>
                <c:pt idx="165">
                  <c:v>34100000</c:v>
                </c:pt>
                <c:pt idx="166">
                  <c:v>73900000</c:v>
                </c:pt>
                <c:pt idx="167">
                  <c:v>35000000</c:v>
                </c:pt>
                <c:pt idx="168">
                  <c:v>75300000</c:v>
                </c:pt>
                <c:pt idx="169">
                  <c:v>33299999.999999996</c:v>
                </c:pt>
                <c:pt idx="170">
                  <c:v>62900000</c:v>
                </c:pt>
                <c:pt idx="171">
                  <c:v>45400000</c:v>
                </c:pt>
                <c:pt idx="172">
                  <c:v>53400000</c:v>
                </c:pt>
                <c:pt idx="173">
                  <c:v>53900000</c:v>
                </c:pt>
                <c:pt idx="174">
                  <c:v>222200000</c:v>
                </c:pt>
                <c:pt idx="175">
                  <c:v>39900000</c:v>
                </c:pt>
                <c:pt idx="176">
                  <c:v>125100000</c:v>
                </c:pt>
                <c:pt idx="177">
                  <c:v>45900000</c:v>
                </c:pt>
                <c:pt idx="178">
                  <c:v>334100000</c:v>
                </c:pt>
                <c:pt idx="179">
                  <c:v>41500000</c:v>
                </c:pt>
                <c:pt idx="180">
                  <c:v>49300000</c:v>
                </c:pt>
                <c:pt idx="181">
                  <c:v>35600000</c:v>
                </c:pt>
                <c:pt idx="182">
                  <c:v>67700000</c:v>
                </c:pt>
                <c:pt idx="183">
                  <c:v>34700000</c:v>
                </c:pt>
                <c:pt idx="184">
                  <c:v>46200000</c:v>
                </c:pt>
                <c:pt idx="185">
                  <c:v>44800000</c:v>
                </c:pt>
                <c:pt idx="186">
                  <c:v>46800000</c:v>
                </c:pt>
                <c:pt idx="187">
                  <c:v>43800000</c:v>
                </c:pt>
                <c:pt idx="188">
                  <c:v>73200000</c:v>
                </c:pt>
                <c:pt idx="189">
                  <c:v>82300000</c:v>
                </c:pt>
                <c:pt idx="190">
                  <c:v>211800000</c:v>
                </c:pt>
                <c:pt idx="191">
                  <c:v>37400000</c:v>
                </c:pt>
                <c:pt idx="192">
                  <c:v>58700000</c:v>
                </c:pt>
                <c:pt idx="193">
                  <c:v>63900000</c:v>
                </c:pt>
                <c:pt idx="194">
                  <c:v>38700000</c:v>
                </c:pt>
                <c:pt idx="195">
                  <c:v>39200000</c:v>
                </c:pt>
                <c:pt idx="196">
                  <c:v>54500000</c:v>
                </c:pt>
                <c:pt idx="197">
                  <c:v>46500000</c:v>
                </c:pt>
                <c:pt idx="198">
                  <c:v>150700000</c:v>
                </c:pt>
                <c:pt idx="199">
                  <c:v>33500000</c:v>
                </c:pt>
              </c:numCache>
            </c:numRef>
          </c:val>
          <c:extLst>
            <c:ext xmlns:c16="http://schemas.microsoft.com/office/drawing/2014/chart" uri="{C3380CC4-5D6E-409C-BE32-E72D297353CC}">
              <c16:uniqueId val="{00000001-3C1D-47E1-85F8-33931FC96879}"/>
            </c:ext>
          </c:extLst>
        </c:ser>
        <c:dLbls>
          <c:showLegendKey val="0"/>
          <c:showVal val="0"/>
          <c:showCatName val="0"/>
          <c:showSerName val="0"/>
          <c:showPercent val="0"/>
          <c:showBubbleSize val="0"/>
        </c:dLbls>
        <c:gapWidth val="219"/>
        <c:overlap val="-27"/>
        <c:axId val="354804831"/>
        <c:axId val="354807231"/>
      </c:barChart>
      <c:catAx>
        <c:axId val="35480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807231"/>
        <c:crosses val="autoZero"/>
        <c:auto val="1"/>
        <c:lblAlgn val="ctr"/>
        <c:lblOffset val="100"/>
        <c:noMultiLvlLbl val="0"/>
      </c:catAx>
      <c:valAx>
        <c:axId val="3548072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80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[project_4_top_influencers.xlsx]Growth in Likes by Influencer!PivotTable4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'Growth in Likes by Influencer'!$B$3</c:f>
              <c:strCache>
                <c:ptCount val="1"/>
                <c:pt idx="0">
                  <c:v>Total</c:v>
                </c:pt>
              </c:strCache>
            </c:strRef>
          </c:tx>
          <c:spPr>
            <a:ln w="28575" cap="rnd">
              <a:solidFill>
                <a:schemeClr val="accent1"/>
              </a:solidFill>
              <a:round/>
            </a:ln>
            <a:effectLst/>
          </c:spPr>
          <c:marker>
            <c:symbol val="none"/>
          </c:marker>
          <c:cat>
            <c:strRef>
              <c:f>'Growth in Likes by Influencer'!$A$4:$A$204</c:f>
              <c:strCache>
                <c:ptCount val="200"/>
                <c:pt idx="0">
                  <c:v>433</c:v>
                </c:pt>
                <c:pt idx="1">
                  <c:v>5-Minute Crafts GIRLY</c:v>
                </c:pt>
                <c:pt idx="2">
                  <c:v>9gag</c:v>
                </c:pt>
                <c:pt idx="3">
                  <c:v>addisonraee</c:v>
                </c:pt>
                <c:pt idx="4">
                  <c:v>adele</c:v>
                </c:pt>
                <c:pt idx="5">
                  <c:v>adidasoriginals</c:v>
                </c:pt>
                <c:pt idx="6">
                  <c:v>akshaykumar</c:v>
                </c:pt>
                <c:pt idx="7">
                  <c:v>aliaabhatt</c:v>
                </c:pt>
                <c:pt idx="8">
                  <c:v>andresiniesta8</c:v>
                </c:pt>
                <c:pt idx="9">
                  <c:v>anitta</c:v>
                </c:pt>
                <c:pt idx="10">
                  <c:v>antogriezmann</c:v>
                </c:pt>
                <c:pt idx="11">
                  <c:v>anushkasen0408</c:v>
                </c:pt>
                <c:pt idx="12">
                  <c:v>anushkasharma</c:v>
                </c:pt>
                <c:pt idx="13">
                  <c:v>arianagrande</c:v>
                </c:pt>
                <c:pt idx="14">
                  <c:v>ayutingting92</c:v>
                </c:pt>
                <c:pt idx="15">
                  <c:v>badbunnypr</c:v>
                </c:pt>
                <c:pt idx="16">
                  <c:v>badgalriri</c:v>
                </c:pt>
                <c:pt idx="17">
                  <c:v>barackobama</c:v>
                </c:pt>
                <c:pt idx="18">
                  <c:v>beingsalmankhan</c:v>
                </c:pt>
                <c:pt idx="19">
                  <c:v>bellahadid</c:v>
                </c:pt>
                <c:pt idx="20">
                  <c:v>beyonce</c:v>
                </c:pt>
                <c:pt idx="21">
                  <c:v>billieeilish</c:v>
                </c:pt>
                <c:pt idx="22">
                  <c:v>blackpinkofficial</c:v>
                </c:pt>
                <c:pt idx="23">
                  <c:v>blakelively</c:v>
                </c:pt>
                <c:pt idx="24">
                  <c:v>bmw</c:v>
                </c:pt>
                <c:pt idx="25">
                  <c:v>britneyspears</c:v>
                </c:pt>
                <c:pt idx="26">
                  <c:v>brunamarquezine</c:v>
                </c:pt>
                <c:pt idx="27">
                  <c:v>bts.bighitofficial</c:v>
                </c:pt>
                <c:pt idx="28">
                  <c:v>buzzfeedtasty</c:v>
                </c:pt>
                <c:pt idx="29">
                  <c:v>camila_cabello</c:v>
                </c:pt>
                <c:pt idx="30">
                  <c:v>caradelevingne</c:v>
                </c:pt>
                <c:pt idx="31">
                  <c:v>champagnepapi</c:v>
                </c:pt>
                <c:pt idx="32">
                  <c:v>charlidamelio</c:v>
                </c:pt>
                <c:pt idx="33">
                  <c:v>chrisbrownofficial</c:v>
                </c:pt>
                <c:pt idx="34">
                  <c:v>chrishemsworth</c:v>
                </c:pt>
                <c:pt idx="35">
                  <c:v>chrissyteigen</c:v>
                </c:pt>
                <c:pt idx="36">
                  <c:v>colesprouse</c:v>
                </c:pt>
                <c:pt idx="37">
                  <c:v>cristiano</c:v>
                </c:pt>
                <c:pt idx="38">
                  <c:v>cznburak</c:v>
                </c:pt>
                <c:pt idx="39">
                  <c:v>daddyyankee</c:v>
                </c:pt>
                <c:pt idx="40">
                  <c:v>danbilzerian</c:v>
                </c:pt>
                <c:pt idx="41">
                  <c:v>dannapaola</c:v>
                </c:pt>
                <c:pt idx="42">
                  <c:v>davidbeckham</c:v>
                </c:pt>
                <c:pt idx="43">
                  <c:v>ddlovato</c:v>
                </c:pt>
                <c:pt idx="44">
                  <c:v>deepikapadukone</c:v>
                </c:pt>
                <c:pt idx="45">
                  <c:v>dior</c:v>
                </c:pt>
                <c:pt idx="46">
                  <c:v>dishapatani</c:v>
                </c:pt>
                <c:pt idx="47">
                  <c:v>disney</c:v>
                </c:pt>
                <c:pt idx="48">
                  <c:v>dovecameron</c:v>
                </c:pt>
                <c:pt idx="49">
                  <c:v>dualipa</c:v>
                </c:pt>
                <c:pt idx="50">
                  <c:v>eminem</c:v>
                </c:pt>
                <c:pt idx="51">
                  <c:v>emmawatson</c:v>
                </c:pt>
                <c:pt idx="52">
                  <c:v>fcbarcelona</c:v>
                </c:pt>
                <c:pt idx="53">
                  <c:v>gal_gadot</c:v>
                </c:pt>
                <c:pt idx="54">
                  <c:v>garethbale11</c:v>
                </c:pt>
                <c:pt idx="55">
                  <c:v>georginagio</c:v>
                </c:pt>
                <c:pt idx="56">
                  <c:v>gigihadid</c:v>
                </c:pt>
                <c:pt idx="57">
                  <c:v>gisel_la</c:v>
                </c:pt>
                <c:pt idx="58">
                  <c:v>gucci</c:v>
                </c:pt>
                <c:pt idx="59">
                  <c:v>gusttavolima</c:v>
                </c:pt>
                <c:pt idx="60">
                  <c:v>haileybieber</c:v>
                </c:pt>
                <c:pt idx="61">
                  <c:v>harrystyles</c:v>
                </c:pt>
                <c:pt idx="62">
                  <c:v>hm</c:v>
                </c:pt>
                <c:pt idx="63">
                  <c:v>hrithikroshan</c:v>
                </c:pt>
                <c:pt idx="64">
                  <c:v>hudabeauty</c:v>
                </c:pt>
                <c:pt idx="65">
                  <c:v>iambeckyg</c:v>
                </c:pt>
                <c:pt idx="66">
                  <c:v>iamcardib</c:v>
                </c:pt>
                <c:pt idx="67">
                  <c:v>iamzlatanibrahimovic</c:v>
                </c:pt>
                <c:pt idx="68">
                  <c:v>ivetesangalo</c:v>
                </c:pt>
                <c:pt idx="69">
                  <c:v>j.m</c:v>
                </c:pt>
                <c:pt idx="70">
                  <c:v>jacquelinef143</c:v>
                </c:pt>
                <c:pt idx="71">
                  <c:v>jamesrodriguez10</c:v>
                </c:pt>
                <c:pt idx="72">
                  <c:v>jannatzubair29</c:v>
                </c:pt>
                <c:pt idx="73">
                  <c:v>jbalvin</c:v>
                </c:pt>
                <c:pt idx="74">
                  <c:v>jennierubyjane</c:v>
                </c:pt>
                <c:pt idx="75">
                  <c:v>jenniferaniston</c:v>
                </c:pt>
                <c:pt idx="76">
                  <c:v>jlo</c:v>
                </c:pt>
                <c:pt idx="77">
                  <c:v>jokowi</c:v>
                </c:pt>
                <c:pt idx="78">
                  <c:v>justinbieber</c:v>
                </c:pt>
                <c:pt idx="79">
                  <c:v>justintimberlake</c:v>
                </c:pt>
                <c:pt idx="80">
                  <c:v>juventus</c:v>
                </c:pt>
                <c:pt idx="81">
                  <c:v>k.mbappe</c:v>
                </c:pt>
                <c:pt idx="82">
                  <c:v>kapilsharma</c:v>
                </c:pt>
                <c:pt idx="83">
                  <c:v>karimbenzema</c:v>
                </c:pt>
                <c:pt idx="84">
                  <c:v>karolg</c:v>
                </c:pt>
                <c:pt idx="85">
                  <c:v>katrinakaif</c:v>
                </c:pt>
                <c:pt idx="86">
                  <c:v>katyperry</c:v>
                </c:pt>
                <c:pt idx="87">
                  <c:v>kendalljenner</c:v>
                </c:pt>
                <c:pt idx="88">
                  <c:v>kevinhart4real</c:v>
                </c:pt>
                <c:pt idx="89">
                  <c:v>khabib_nurmagomedov</c:v>
                </c:pt>
                <c:pt idx="90">
                  <c:v>khloekardashian</c:v>
                </c:pt>
                <c:pt idx="91">
                  <c:v>kimberly.loaiza</c:v>
                </c:pt>
                <c:pt idx="92">
                  <c:v>kimkardashian</c:v>
                </c:pt>
                <c:pt idx="93">
                  <c:v>kingjames</c:v>
                </c:pt>
                <c:pt idx="94">
                  <c:v>kourtneykardash</c:v>
                </c:pt>
                <c:pt idx="95">
                  <c:v>krisjenner</c:v>
                </c:pt>
                <c:pt idx="96">
                  <c:v>kritisanon</c:v>
                </c:pt>
                <c:pt idx="97">
                  <c:v>kyliejenner</c:v>
                </c:pt>
                <c:pt idx="98">
                  <c:v>ladygaga</c:v>
                </c:pt>
                <c:pt idx="99">
                  <c:v>lalalalisa_m</c:v>
                </c:pt>
                <c:pt idx="100">
                  <c:v>larissamanoela</c:v>
                </c:pt>
                <c:pt idx="101">
                  <c:v>laudyacynthiabella</c:v>
                </c:pt>
                <c:pt idx="102">
                  <c:v>lelepons</c:v>
                </c:pt>
                <c:pt idx="103">
                  <c:v>leomessi</c:v>
                </c:pt>
                <c:pt idx="104">
                  <c:v>leonardodicaprio</c:v>
                </c:pt>
                <c:pt idx="105">
                  <c:v>liverpoolfc</c:v>
                </c:pt>
                <c:pt idx="106">
                  <c:v>louisvuitton</c:v>
                </c:pt>
                <c:pt idx="107">
                  <c:v>luansantana</c:v>
                </c:pt>
                <c:pt idx="108">
                  <c:v>luissuarez9</c:v>
                </c:pt>
                <c:pt idx="109">
                  <c:v>lunamaya</c:v>
                </c:pt>
                <c:pt idx="110">
                  <c:v>mahi7781</c:v>
                </c:pt>
                <c:pt idx="111">
                  <c:v>maisa</c:v>
                </c:pt>
                <c:pt idx="112">
                  <c:v>maluma</c:v>
                </c:pt>
                <c:pt idx="113">
                  <c:v>manchesterunited</c:v>
                </c:pt>
                <c:pt idx="114">
                  <c:v>marcelotwelve</c:v>
                </c:pt>
                <c:pt idx="115">
                  <c:v>mariliamendoncacantora</c:v>
                </c:pt>
                <c:pt idx="116">
                  <c:v>marinaruybarbosa</c:v>
                </c:pt>
                <c:pt idx="117">
                  <c:v>marvel</c:v>
                </c:pt>
                <c:pt idx="118">
                  <c:v>marvelstudios</c:v>
                </c:pt>
                <c:pt idx="119">
                  <c:v>mercedesbenz</c:v>
                </c:pt>
                <c:pt idx="120">
                  <c:v>michelleobama</c:v>
                </c:pt>
                <c:pt idx="121">
                  <c:v>mileycyrus</c:v>
                </c:pt>
                <c:pt idx="122">
                  <c:v>milliebobbybrown</c:v>
                </c:pt>
                <c:pt idx="123">
                  <c:v>mosalah</c:v>
                </c:pt>
                <c:pt idx="124">
                  <c:v>nancyajram</c:v>
                </c:pt>
                <c:pt idx="125">
                  <c:v>narendramodi</c:v>
                </c:pt>
                <c:pt idx="126">
                  <c:v>nasa</c:v>
                </c:pt>
                <c:pt idx="127">
                  <c:v>natashawilona12</c:v>
                </c:pt>
                <c:pt idx="128">
                  <c:v>natgeo</c:v>
                </c:pt>
                <c:pt idx="129">
                  <c:v>natgeotravel</c:v>
                </c:pt>
                <c:pt idx="130">
                  <c:v>nattinatasha</c:v>
                </c:pt>
                <c:pt idx="131">
                  <c:v>nba</c:v>
                </c:pt>
                <c:pt idx="132">
                  <c:v>nehakakkar</c:v>
                </c:pt>
                <c:pt idx="133">
                  <c:v>neymarjr</c:v>
                </c:pt>
                <c:pt idx="134">
                  <c:v>nickiminaj</c:v>
                </c:pt>
                <c:pt idx="135">
                  <c:v>nickjonas</c:v>
                </c:pt>
                <c:pt idx="136">
                  <c:v>nickyjampr</c:v>
                </c:pt>
                <c:pt idx="137">
                  <c:v>nike</c:v>
                </c:pt>
                <c:pt idx="138">
                  <c:v>nikefootball</c:v>
                </c:pt>
                <c:pt idx="139">
                  <c:v>norafatehi</c:v>
                </c:pt>
                <c:pt idx="140">
                  <c:v>nusr_et</c:v>
                </c:pt>
                <c:pt idx="141">
                  <c:v>paollaoliveirareal</c:v>
                </c:pt>
                <c:pt idx="142">
                  <c:v>parineetichopra</c:v>
                </c:pt>
                <c:pt idx="143">
                  <c:v>paulodybala</c:v>
                </c:pt>
                <c:pt idx="144">
                  <c:v>paulpogba</c:v>
                </c:pt>
                <c:pt idx="145">
                  <c:v>prattprattpratt</c:v>
                </c:pt>
                <c:pt idx="146">
                  <c:v>prillylatuconsina96</c:v>
                </c:pt>
                <c:pt idx="147">
                  <c:v>princessyahrini</c:v>
                </c:pt>
                <c:pt idx="148">
                  <c:v>priyankachopra</c:v>
                </c:pt>
                <c:pt idx="149">
                  <c:v>psg</c:v>
                </c:pt>
                <c:pt idx="150">
                  <c:v>raffinagita1717</c:v>
                </c:pt>
                <c:pt idx="151">
                  <c:v>raisa6690</c:v>
                </c:pt>
                <c:pt idx="152">
                  <c:v>ranveersingh</c:v>
                </c:pt>
                <c:pt idx="153">
                  <c:v>realmadrid</c:v>
                </c:pt>
                <c:pt idx="154">
                  <c:v>rkive</c:v>
                </c:pt>
                <c:pt idx="155">
                  <c:v>robertdowneyjr</c:v>
                </c:pt>
                <c:pt idx="156">
                  <c:v>ronaldinho</c:v>
                </c:pt>
                <c:pt idx="157">
                  <c:v>roses_are_rosie</c:v>
                </c:pt>
                <c:pt idx="158">
                  <c:v>ruben_onsu</c:v>
                </c:pt>
                <c:pt idx="159">
                  <c:v>sachintendulkar</c:v>
                </c:pt>
                <c:pt idx="160">
                  <c:v>selenagomez</c:v>
                </c:pt>
                <c:pt idx="161">
                  <c:v>sergioramos</c:v>
                </c:pt>
                <c:pt idx="162">
                  <c:v>shahidkapoor</c:v>
                </c:pt>
                <c:pt idx="163">
                  <c:v>Shakira</c:v>
                </c:pt>
                <c:pt idx="164">
                  <c:v>shawnmendes</c:v>
                </c:pt>
                <c:pt idx="165">
                  <c:v>shaymitchell</c:v>
                </c:pt>
                <c:pt idx="166">
                  <c:v>shraddhakapoor</c:v>
                </c:pt>
                <c:pt idx="167">
                  <c:v>simonemendes</c:v>
                </c:pt>
                <c:pt idx="168">
                  <c:v>snoopdogg</c:v>
                </c:pt>
                <c:pt idx="169">
                  <c:v>sonamkapoor</c:v>
                </c:pt>
                <c:pt idx="170">
                  <c:v>sooyaaa__</c:v>
                </c:pt>
                <c:pt idx="171">
                  <c:v>stephencurry30</c:v>
                </c:pt>
                <c:pt idx="172">
                  <c:v>sunnyleone</c:v>
                </c:pt>
                <c:pt idx="173">
                  <c:v>tatawerneck</c:v>
                </c:pt>
                <c:pt idx="174">
                  <c:v>taylorswift</c:v>
                </c:pt>
                <c:pt idx="175">
                  <c:v>teddysphotos</c:v>
                </c:pt>
                <c:pt idx="176">
                  <c:v>theellenshow</c:v>
                </c:pt>
                <c:pt idx="177">
                  <c:v>thenotoriousmma</c:v>
                </c:pt>
                <c:pt idx="178">
                  <c:v>therock</c:v>
                </c:pt>
                <c:pt idx="179">
                  <c:v>theweeknd</c:v>
                </c:pt>
                <c:pt idx="180">
                  <c:v>thv</c:v>
                </c:pt>
                <c:pt idx="181">
                  <c:v>tigerjackieshroff</c:v>
                </c:pt>
                <c:pt idx="182">
                  <c:v>tomholland2013</c:v>
                </c:pt>
                <c:pt idx="183">
                  <c:v>toni.kr8s</c:v>
                </c:pt>
                <c:pt idx="184">
                  <c:v>travisscott</c:v>
                </c:pt>
                <c:pt idx="185">
                  <c:v>vancityreynolds</c:v>
                </c:pt>
                <c:pt idx="186">
                  <c:v>vanessahudgens</c:v>
                </c:pt>
                <c:pt idx="187">
                  <c:v>varundvn</c:v>
                </c:pt>
                <c:pt idx="188">
                  <c:v>victoriassecret</c:v>
                </c:pt>
                <c:pt idx="189">
                  <c:v>vindiesel</c:v>
                </c:pt>
                <c:pt idx="190">
                  <c:v>virat.kohli</c:v>
                </c:pt>
                <c:pt idx="191">
                  <c:v>wesleysafadao</c:v>
                </c:pt>
                <c:pt idx="192">
                  <c:v>whinderssonnunes</c:v>
                </c:pt>
                <c:pt idx="193">
                  <c:v>willsmith</c:v>
                </c:pt>
                <c:pt idx="194">
                  <c:v>wizkhalifa</c:v>
                </c:pt>
                <c:pt idx="195">
                  <c:v>worldstar</c:v>
                </c:pt>
                <c:pt idx="196">
                  <c:v>zacefron</c:v>
                </c:pt>
                <c:pt idx="197">
                  <c:v>zayn</c:v>
                </c:pt>
                <c:pt idx="198">
                  <c:v>zendaya</c:v>
                </c:pt>
                <c:pt idx="199">
                  <c:v>zidane</c:v>
                </c:pt>
              </c:strCache>
            </c:strRef>
          </c:cat>
          <c:val>
            <c:numRef>
              <c:f>'Growth in Likes by Influencer'!$B$4:$B$204</c:f>
              <c:numCache>
                <c:formatCode>0.00%</c:formatCode>
                <c:ptCount val="200"/>
                <c:pt idx="0">
                  <c:v>-10.31047265987025</c:v>
                </c:pt>
                <c:pt idx="1">
                  <c:v>-92.101910828025481</c:v>
                </c:pt>
                <c:pt idx="2">
                  <c:v>-63.038953315492122</c:v>
                </c:pt>
                <c:pt idx="3">
                  <c:v>-67.92258064516129</c:v>
                </c:pt>
                <c:pt idx="4">
                  <c:v>-59.574468085106382</c:v>
                </c:pt>
                <c:pt idx="5">
                  <c:v>-50.95447870778267</c:v>
                </c:pt>
                <c:pt idx="6">
                  <c:v>-58.34</c:v>
                </c:pt>
                <c:pt idx="7">
                  <c:v>16.666666666666664</c:v>
                </c:pt>
                <c:pt idx="8">
                  <c:v>-35.526315789473685</c:v>
                </c:pt>
                <c:pt idx="9">
                  <c:v>-50.181180596142603</c:v>
                </c:pt>
                <c:pt idx="10">
                  <c:v>-81.490909090909085</c:v>
                </c:pt>
                <c:pt idx="11">
                  <c:v>-5.3350589588725912</c:v>
                </c:pt>
                <c:pt idx="12">
                  <c:v>-26.315789473684209</c:v>
                </c:pt>
                <c:pt idx="13">
                  <c:v>5.4054054054054053</c:v>
                </c:pt>
                <c:pt idx="14">
                  <c:v>-61.778682959945684</c:v>
                </c:pt>
                <c:pt idx="15">
                  <c:v>45.945945945945951</c:v>
                </c:pt>
                <c:pt idx="16">
                  <c:v>-100</c:v>
                </c:pt>
                <c:pt idx="17">
                  <c:v>-62.590909090909086</c:v>
                </c:pt>
                <c:pt idx="18">
                  <c:v>-50.435714285714283</c:v>
                </c:pt>
                <c:pt idx="19">
                  <c:v>0</c:v>
                </c:pt>
                <c:pt idx="20">
                  <c:v>-44.444444444444443</c:v>
                </c:pt>
                <c:pt idx="21">
                  <c:v>-38.82352941176471</c:v>
                </c:pt>
                <c:pt idx="22">
                  <c:v>-38.095238095238095</c:v>
                </c:pt>
                <c:pt idx="23">
                  <c:v>-100</c:v>
                </c:pt>
                <c:pt idx="24">
                  <c:v>-66.926070038910495</c:v>
                </c:pt>
                <c:pt idx="25">
                  <c:v>-56.792048333658151</c:v>
                </c:pt>
                <c:pt idx="26">
                  <c:v>-54.19201814994328</c:v>
                </c:pt>
                <c:pt idx="27">
                  <c:v>-12.195121951219502</c:v>
                </c:pt>
                <c:pt idx="28">
                  <c:v>-88.172043010752688</c:v>
                </c:pt>
                <c:pt idx="29">
                  <c:v>-26.315789473684209</c:v>
                </c:pt>
                <c:pt idx="30">
                  <c:v>-77.09440647937231</c:v>
                </c:pt>
                <c:pt idx="31">
                  <c:v>-23.52941176470588</c:v>
                </c:pt>
                <c:pt idx="32">
                  <c:v>-61.904761904761905</c:v>
                </c:pt>
                <c:pt idx="33">
                  <c:v>-44.753886010362692</c:v>
                </c:pt>
                <c:pt idx="34">
                  <c:v>-25</c:v>
                </c:pt>
                <c:pt idx="35">
                  <c:v>-73.984914138982504</c:v>
                </c:pt>
                <c:pt idx="36">
                  <c:v>-62.06818181818182</c:v>
                </c:pt>
                <c:pt idx="37">
                  <c:v>-25.287356321839084</c:v>
                </c:pt>
                <c:pt idx="38">
                  <c:v>-53.015444962000494</c:v>
                </c:pt>
                <c:pt idx="39">
                  <c:v>-30.222222222222221</c:v>
                </c:pt>
                <c:pt idx="40">
                  <c:v>-40</c:v>
                </c:pt>
                <c:pt idx="41">
                  <c:v>-20</c:v>
                </c:pt>
                <c:pt idx="42">
                  <c:v>-71.591666666666669</c:v>
                </c:pt>
                <c:pt idx="43">
                  <c:v>-66.963636363636354</c:v>
                </c:pt>
                <c:pt idx="44">
                  <c:v>-6.25</c:v>
                </c:pt>
                <c:pt idx="45">
                  <c:v>-28.378378378378379</c:v>
                </c:pt>
                <c:pt idx="46">
                  <c:v>-39.268750000000004</c:v>
                </c:pt>
                <c:pt idx="47">
                  <c:v>-28.725701943844495</c:v>
                </c:pt>
                <c:pt idx="48">
                  <c:v>-47.412500000000001</c:v>
                </c:pt>
                <c:pt idx="49">
                  <c:v>-47.619047619047613</c:v>
                </c:pt>
                <c:pt idx="50">
                  <c:v>-12.481818181818181</c:v>
                </c:pt>
                <c:pt idx="51">
                  <c:v>-100</c:v>
                </c:pt>
                <c:pt idx="52">
                  <c:v>-41.141666666666666</c:v>
                </c:pt>
                <c:pt idx="53">
                  <c:v>-58.107142857142854</c:v>
                </c:pt>
                <c:pt idx="54">
                  <c:v>-10.707732634338139</c:v>
                </c:pt>
                <c:pt idx="55">
                  <c:v>50</c:v>
                </c:pt>
                <c:pt idx="56">
                  <c:v>-24</c:v>
                </c:pt>
                <c:pt idx="57">
                  <c:v>-77.807308970099669</c:v>
                </c:pt>
                <c:pt idx="58">
                  <c:v>-37.098175499565592</c:v>
                </c:pt>
                <c:pt idx="59">
                  <c:v>-36.034519048621341</c:v>
                </c:pt>
                <c:pt idx="60">
                  <c:v>-20</c:v>
                </c:pt>
                <c:pt idx="61">
                  <c:v>-38.297872340425535</c:v>
                </c:pt>
                <c:pt idx="62">
                  <c:v>-74.660633484162901</c:v>
                </c:pt>
                <c:pt idx="63">
                  <c:v>0</c:v>
                </c:pt>
                <c:pt idx="64">
                  <c:v>-90.987124463519308</c:v>
                </c:pt>
                <c:pt idx="65">
                  <c:v>-25.504969541519717</c:v>
                </c:pt>
                <c:pt idx="66">
                  <c:v>-51.612903225806448</c:v>
                </c:pt>
                <c:pt idx="67">
                  <c:v>-44.193333333333335</c:v>
                </c:pt>
                <c:pt idx="68">
                  <c:v>-46.510600706713781</c:v>
                </c:pt>
                <c:pt idx="69">
                  <c:v>-22.535211267605636</c:v>
                </c:pt>
                <c:pt idx="70">
                  <c:v>-34.654545454545456</c:v>
                </c:pt>
                <c:pt idx="71">
                  <c:v>-74.007142857142867</c:v>
                </c:pt>
                <c:pt idx="72">
                  <c:v>-27.361538461538458</c:v>
                </c:pt>
                <c:pt idx="73">
                  <c:v>-61.218678815489746</c:v>
                </c:pt>
                <c:pt idx="74">
                  <c:v>11.76470588235294</c:v>
                </c:pt>
                <c:pt idx="75">
                  <c:v>-84.108695652173921</c:v>
                </c:pt>
                <c:pt idx="76">
                  <c:v>-17.647058823529413</c:v>
                </c:pt>
                <c:pt idx="77">
                  <c:v>-58.108705258506411</c:v>
                </c:pt>
                <c:pt idx="78">
                  <c:v>-21.052631578947366</c:v>
                </c:pt>
                <c:pt idx="79">
                  <c:v>-68.454363757495003</c:v>
                </c:pt>
                <c:pt idx="80">
                  <c:v>-30.441478439425051</c:v>
                </c:pt>
                <c:pt idx="81">
                  <c:v>-36</c:v>
                </c:pt>
                <c:pt idx="82">
                  <c:v>-15.195545898967952</c:v>
                </c:pt>
                <c:pt idx="83">
                  <c:v>4.5987478656801368</c:v>
                </c:pt>
                <c:pt idx="84">
                  <c:v>83.870967741935488</c:v>
                </c:pt>
                <c:pt idx="85">
                  <c:v>-11.76470588235294</c:v>
                </c:pt>
                <c:pt idx="86">
                  <c:v>-62.923076923076927</c:v>
                </c:pt>
                <c:pt idx="87">
                  <c:v>-7.2727272727272725</c:v>
                </c:pt>
                <c:pt idx="88">
                  <c:v>-77.931034482758619</c:v>
                </c:pt>
                <c:pt idx="89">
                  <c:v>-67.785724711720917</c:v>
                </c:pt>
                <c:pt idx="90">
                  <c:v>-61.379166666666663</c:v>
                </c:pt>
                <c:pt idx="91">
                  <c:v>-30.76923076923077</c:v>
                </c:pt>
                <c:pt idx="92">
                  <c:v>-17.142857142857142</c:v>
                </c:pt>
                <c:pt idx="93">
                  <c:v>-42.857142857142854</c:v>
                </c:pt>
                <c:pt idx="94">
                  <c:v>-27.777777777777779</c:v>
                </c:pt>
                <c:pt idx="95">
                  <c:v>26.933856502242154</c:v>
                </c:pt>
                <c:pt idx="96">
                  <c:v>-32.634864021399913</c:v>
                </c:pt>
                <c:pt idx="97">
                  <c:v>-28.915662650602421</c:v>
                </c:pt>
                <c:pt idx="98">
                  <c:v>-62.028571428571432</c:v>
                </c:pt>
                <c:pt idx="99">
                  <c:v>24.137931034482758</c:v>
                </c:pt>
                <c:pt idx="100">
                  <c:v>-55.244996549344371</c:v>
                </c:pt>
                <c:pt idx="101">
                  <c:v>-74.884259259259252</c:v>
                </c:pt>
                <c:pt idx="102">
                  <c:v>-29.166666666666668</c:v>
                </c:pt>
                <c:pt idx="103">
                  <c:v>-35.294117647058826</c:v>
                </c:pt>
                <c:pt idx="104">
                  <c:v>-72.793931731984827</c:v>
                </c:pt>
                <c:pt idx="105">
                  <c:v>-53.014133256417651</c:v>
                </c:pt>
                <c:pt idx="106">
                  <c:v>-68.235294117647058</c:v>
                </c:pt>
                <c:pt idx="107">
                  <c:v>-57.26849456802897</c:v>
                </c:pt>
                <c:pt idx="108">
                  <c:v>-48.266400598653028</c:v>
                </c:pt>
                <c:pt idx="109">
                  <c:v>-59.697386519944985</c:v>
                </c:pt>
                <c:pt idx="110">
                  <c:v>-100</c:v>
                </c:pt>
                <c:pt idx="111">
                  <c:v>-46.817359855334537</c:v>
                </c:pt>
                <c:pt idx="112">
                  <c:v>-41.975000000000001</c:v>
                </c:pt>
                <c:pt idx="113">
                  <c:v>-36.720796228391826</c:v>
                </c:pt>
                <c:pt idx="114">
                  <c:v>-35.113619916051526</c:v>
                </c:pt>
                <c:pt idx="115">
                  <c:v>-18.14</c:v>
                </c:pt>
                <c:pt idx="116">
                  <c:v>-100</c:v>
                </c:pt>
                <c:pt idx="117">
                  <c:v>2.016250376166115</c:v>
                </c:pt>
                <c:pt idx="118">
                  <c:v>-6.4456411982497475</c:v>
                </c:pt>
                <c:pt idx="119">
                  <c:v>-67.357251136937847</c:v>
                </c:pt>
                <c:pt idx="120">
                  <c:v>-12.748037116345468</c:v>
                </c:pt>
                <c:pt idx="121">
                  <c:v>-29.723076923076924</c:v>
                </c:pt>
                <c:pt idx="122">
                  <c:v>25</c:v>
                </c:pt>
                <c:pt idx="123">
                  <c:v>-38.888888888888893</c:v>
                </c:pt>
                <c:pt idx="124">
                  <c:v>-46.721311475409841</c:v>
                </c:pt>
                <c:pt idx="125">
                  <c:v>-31.03448275862069</c:v>
                </c:pt>
                <c:pt idx="126">
                  <c:v>0</c:v>
                </c:pt>
                <c:pt idx="127">
                  <c:v>-53.19630010277492</c:v>
                </c:pt>
                <c:pt idx="128">
                  <c:v>-47.286565188616805</c:v>
                </c:pt>
                <c:pt idx="129">
                  <c:v>-72.195892575039494</c:v>
                </c:pt>
                <c:pt idx="130">
                  <c:v>-44.81760277938622</c:v>
                </c:pt>
                <c:pt idx="131">
                  <c:v>-46.898597626752967</c:v>
                </c:pt>
                <c:pt idx="132">
                  <c:v>-75.326666666666668</c:v>
                </c:pt>
                <c:pt idx="133">
                  <c:v>-29.629629629629626</c:v>
                </c:pt>
                <c:pt idx="134">
                  <c:v>-52.380952380952387</c:v>
                </c:pt>
                <c:pt idx="135">
                  <c:v>-35.005558643690939</c:v>
                </c:pt>
                <c:pt idx="136">
                  <c:v>-63.4958071278826</c:v>
                </c:pt>
                <c:pt idx="137">
                  <c:v>-44.741641337386021</c:v>
                </c:pt>
                <c:pt idx="138">
                  <c:v>-53.664192949907232</c:v>
                </c:pt>
                <c:pt idx="139">
                  <c:v>-48.035714285714285</c:v>
                </c:pt>
                <c:pt idx="140">
                  <c:v>-81.73578687173854</c:v>
                </c:pt>
                <c:pt idx="141">
                  <c:v>-47.71615008156607</c:v>
                </c:pt>
                <c:pt idx="142">
                  <c:v>-51.176586909234722</c:v>
                </c:pt>
                <c:pt idx="143">
                  <c:v>-22.222222222222221</c:v>
                </c:pt>
                <c:pt idx="144">
                  <c:v>-66.957142857142856</c:v>
                </c:pt>
                <c:pt idx="145">
                  <c:v>-55.279655808236015</c:v>
                </c:pt>
                <c:pt idx="146">
                  <c:v>-64.607948442534919</c:v>
                </c:pt>
                <c:pt idx="147">
                  <c:v>-26.120033812341504</c:v>
                </c:pt>
                <c:pt idx="148">
                  <c:v>-49.818750000000001</c:v>
                </c:pt>
                <c:pt idx="149">
                  <c:v>-35.624375624375624</c:v>
                </c:pt>
                <c:pt idx="150">
                  <c:v>-5.2468338071853191</c:v>
                </c:pt>
                <c:pt idx="151">
                  <c:v>-58.053402239448751</c:v>
                </c:pt>
                <c:pt idx="152">
                  <c:v>-70.069999999999993</c:v>
                </c:pt>
                <c:pt idx="153">
                  <c:v>-40.945593254366592</c:v>
                </c:pt>
                <c:pt idx="154">
                  <c:v>-100</c:v>
                </c:pt>
                <c:pt idx="155">
                  <c:v>-63.333333333333329</c:v>
                </c:pt>
                <c:pt idx="156">
                  <c:v>-62.687593080536139</c:v>
                </c:pt>
                <c:pt idx="157">
                  <c:v>30.434782608695656</c:v>
                </c:pt>
                <c:pt idx="158">
                  <c:v>-64.752333094041632</c:v>
                </c:pt>
                <c:pt idx="159">
                  <c:v>-16.979010494752625</c:v>
                </c:pt>
                <c:pt idx="160">
                  <c:v>-46.774193548387096</c:v>
                </c:pt>
                <c:pt idx="161">
                  <c:v>-49.281818181818181</c:v>
                </c:pt>
                <c:pt idx="162">
                  <c:v>-40</c:v>
                </c:pt>
                <c:pt idx="163">
                  <c:v>-68.751922879704637</c:v>
                </c:pt>
                <c:pt idx="164">
                  <c:v>-42.857142857142854</c:v>
                </c:pt>
                <c:pt idx="165">
                  <c:v>-66.206990715456044</c:v>
                </c:pt>
                <c:pt idx="166">
                  <c:v>-46.256250000000001</c:v>
                </c:pt>
                <c:pt idx="167">
                  <c:v>-46.928571428571431</c:v>
                </c:pt>
                <c:pt idx="168">
                  <c:v>-38.242513500245458</c:v>
                </c:pt>
                <c:pt idx="169">
                  <c:v>-20.96713260294673</c:v>
                </c:pt>
                <c:pt idx="170">
                  <c:v>31.111111111111111</c:v>
                </c:pt>
                <c:pt idx="171">
                  <c:v>9.0909090909090917</c:v>
                </c:pt>
                <c:pt idx="172">
                  <c:v>-60.562827225130889</c:v>
                </c:pt>
                <c:pt idx="173">
                  <c:v>-72.233798708064185</c:v>
                </c:pt>
                <c:pt idx="174">
                  <c:v>-4.1666666666666661</c:v>
                </c:pt>
                <c:pt idx="175">
                  <c:v>-74.689028651292801</c:v>
                </c:pt>
                <c:pt idx="176">
                  <c:v>-80.570749108204524</c:v>
                </c:pt>
                <c:pt idx="177">
                  <c:v>-71.681818181818187</c:v>
                </c:pt>
                <c:pt idx="178">
                  <c:v>-64.984210526315792</c:v>
                </c:pt>
                <c:pt idx="179">
                  <c:v>45.454545454545453</c:v>
                </c:pt>
                <c:pt idx="180">
                  <c:v>-18.181818181818183</c:v>
                </c:pt>
                <c:pt idx="181">
                  <c:v>-61.554545454545448</c:v>
                </c:pt>
                <c:pt idx="182">
                  <c:v>35.185185185185183</c:v>
                </c:pt>
                <c:pt idx="183">
                  <c:v>-10.666443402545212</c:v>
                </c:pt>
                <c:pt idx="184">
                  <c:v>-13.333333333333334</c:v>
                </c:pt>
                <c:pt idx="185">
                  <c:v>-14.285714285714285</c:v>
                </c:pt>
                <c:pt idx="186">
                  <c:v>-53.793973812904241</c:v>
                </c:pt>
                <c:pt idx="187">
                  <c:v>-41.772727272727273</c:v>
                </c:pt>
                <c:pt idx="188">
                  <c:v>-79.727891156462576</c:v>
                </c:pt>
                <c:pt idx="189">
                  <c:v>-65.55</c:v>
                </c:pt>
                <c:pt idx="190">
                  <c:v>-42.857142857142854</c:v>
                </c:pt>
                <c:pt idx="191">
                  <c:v>-100</c:v>
                </c:pt>
                <c:pt idx="192">
                  <c:v>-79.806250000000006</c:v>
                </c:pt>
                <c:pt idx="193">
                  <c:v>-100</c:v>
                </c:pt>
                <c:pt idx="194">
                  <c:v>-70.980687233508903</c:v>
                </c:pt>
                <c:pt idx="195">
                  <c:v>-46.378653113087672</c:v>
                </c:pt>
                <c:pt idx="196">
                  <c:v>91.304347826086953</c:v>
                </c:pt>
                <c:pt idx="197">
                  <c:v>-14.893617021276595</c:v>
                </c:pt>
                <c:pt idx="198">
                  <c:v>-17.241379310344829</c:v>
                </c:pt>
                <c:pt idx="199">
                  <c:v>-51.572727272727271</c:v>
                </c:pt>
              </c:numCache>
            </c:numRef>
          </c:val>
          <c:smooth val="0"/>
          <c:extLst>
            <c:ext xmlns:c16="http://schemas.microsoft.com/office/drawing/2014/chart" uri="{C3380CC4-5D6E-409C-BE32-E72D297353CC}">
              <c16:uniqueId val="{00000000-AF60-4F5F-8DF4-9D9565E3A2F0}"/>
            </c:ext>
          </c:extLst>
        </c:ser>
        <c:dLbls>
          <c:showLegendKey val="0"/>
          <c:showVal val="0"/>
          <c:showCatName val="0"/>
          <c:showSerName val="0"/>
          <c:showPercent val="0"/>
          <c:showBubbleSize val="0"/>
        </c:dLbls>
        <c:smooth val="0"/>
        <c:axId val="219676079"/>
        <c:axId val="219675599"/>
      </c:lineChart>
      <c:catAx>
        <c:axId val="21967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75599"/>
        <c:crosses val="autoZero"/>
        <c:auto val="1"/>
        <c:lblAlgn val="ctr"/>
        <c:lblOffset val="100"/>
        <c:noMultiLvlLbl val="0"/>
      </c:catAx>
      <c:valAx>
        <c:axId val="219675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7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[project_4_top_influencers.xlsx]Influence Score!PivotTable1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'Influence Score'!$B$3</c:f>
              <c:strCache>
                <c:ptCount val="1"/>
                <c:pt idx="0">
                  <c:v>Total</c:v>
                </c:pt>
              </c:strCache>
            </c:strRef>
          </c:tx>
          <c:spPr>
            <a:solidFill>
              <a:schemeClr val="accent1"/>
            </a:solidFill>
            <a:ln>
              <a:noFill/>
            </a:ln>
            <a:effectLst/>
          </c:spPr>
          <c:invertIfNegative val="0"/>
          <c:cat>
            <c:strRef>
              <c:f>'Influence Score'!$A$4:$A$204</c:f>
              <c:strCache>
                <c:ptCount val="200"/>
                <c:pt idx="0">
                  <c:v>zidane</c:v>
                </c:pt>
                <c:pt idx="1">
                  <c:v>zendaya</c:v>
                </c:pt>
                <c:pt idx="2">
                  <c:v>zayn</c:v>
                </c:pt>
                <c:pt idx="3">
                  <c:v>zacefron</c:v>
                </c:pt>
                <c:pt idx="4">
                  <c:v>worldstar</c:v>
                </c:pt>
                <c:pt idx="5">
                  <c:v>wizkhalifa</c:v>
                </c:pt>
                <c:pt idx="6">
                  <c:v>willsmith</c:v>
                </c:pt>
                <c:pt idx="7">
                  <c:v>whinderssonnunes</c:v>
                </c:pt>
                <c:pt idx="8">
                  <c:v>wesleysafadao</c:v>
                </c:pt>
                <c:pt idx="9">
                  <c:v>virat.kohli</c:v>
                </c:pt>
                <c:pt idx="10">
                  <c:v>vindiesel</c:v>
                </c:pt>
                <c:pt idx="11">
                  <c:v>victoriassecret</c:v>
                </c:pt>
                <c:pt idx="12">
                  <c:v>varundvn</c:v>
                </c:pt>
                <c:pt idx="13">
                  <c:v>vanessahudgens</c:v>
                </c:pt>
                <c:pt idx="14">
                  <c:v>vancityreynolds</c:v>
                </c:pt>
                <c:pt idx="15">
                  <c:v>travisscott</c:v>
                </c:pt>
                <c:pt idx="16">
                  <c:v>toni.kr8s</c:v>
                </c:pt>
                <c:pt idx="17">
                  <c:v>tomholland2013</c:v>
                </c:pt>
                <c:pt idx="18">
                  <c:v>tigerjackieshroff</c:v>
                </c:pt>
                <c:pt idx="19">
                  <c:v>thv</c:v>
                </c:pt>
                <c:pt idx="20">
                  <c:v>theweeknd</c:v>
                </c:pt>
                <c:pt idx="21">
                  <c:v>therock</c:v>
                </c:pt>
                <c:pt idx="22">
                  <c:v>thenotoriousmma</c:v>
                </c:pt>
                <c:pt idx="23">
                  <c:v>theellenshow</c:v>
                </c:pt>
                <c:pt idx="24">
                  <c:v>teddysphotos</c:v>
                </c:pt>
                <c:pt idx="25">
                  <c:v>taylorswift</c:v>
                </c:pt>
                <c:pt idx="26">
                  <c:v>tatawerneck</c:v>
                </c:pt>
                <c:pt idx="27">
                  <c:v>sunnyleone</c:v>
                </c:pt>
                <c:pt idx="28">
                  <c:v>stephencurry30</c:v>
                </c:pt>
                <c:pt idx="29">
                  <c:v>sooyaaa__</c:v>
                </c:pt>
                <c:pt idx="30">
                  <c:v>sonamkapoor</c:v>
                </c:pt>
                <c:pt idx="31">
                  <c:v>snoopdogg</c:v>
                </c:pt>
                <c:pt idx="32">
                  <c:v>simonemendes</c:v>
                </c:pt>
                <c:pt idx="33">
                  <c:v>shraddhakapoor</c:v>
                </c:pt>
                <c:pt idx="34">
                  <c:v>shaymitchell</c:v>
                </c:pt>
                <c:pt idx="35">
                  <c:v>shawnmendes</c:v>
                </c:pt>
                <c:pt idx="36">
                  <c:v>Shakira</c:v>
                </c:pt>
                <c:pt idx="37">
                  <c:v>shahidkapoor</c:v>
                </c:pt>
                <c:pt idx="38">
                  <c:v>sergioramos</c:v>
                </c:pt>
                <c:pt idx="39">
                  <c:v>selenagomez</c:v>
                </c:pt>
                <c:pt idx="40">
                  <c:v>sachintendulkar</c:v>
                </c:pt>
                <c:pt idx="41">
                  <c:v>ruben_onsu</c:v>
                </c:pt>
                <c:pt idx="42">
                  <c:v>roses_are_rosie</c:v>
                </c:pt>
                <c:pt idx="43">
                  <c:v>ronaldinho</c:v>
                </c:pt>
                <c:pt idx="44">
                  <c:v>robertdowneyjr</c:v>
                </c:pt>
                <c:pt idx="45">
                  <c:v>rkive</c:v>
                </c:pt>
                <c:pt idx="46">
                  <c:v>realmadrid</c:v>
                </c:pt>
                <c:pt idx="47">
                  <c:v>ranveersingh</c:v>
                </c:pt>
                <c:pt idx="48">
                  <c:v>raisa6690</c:v>
                </c:pt>
                <c:pt idx="49">
                  <c:v>raffinagita1717</c:v>
                </c:pt>
                <c:pt idx="50">
                  <c:v>psg</c:v>
                </c:pt>
                <c:pt idx="51">
                  <c:v>priyankachopra</c:v>
                </c:pt>
                <c:pt idx="52">
                  <c:v>princessyahrini</c:v>
                </c:pt>
                <c:pt idx="53">
                  <c:v>prillylatuconsina96</c:v>
                </c:pt>
                <c:pt idx="54">
                  <c:v>prattprattpratt</c:v>
                </c:pt>
                <c:pt idx="55">
                  <c:v>paulpogba</c:v>
                </c:pt>
                <c:pt idx="56">
                  <c:v>paulodybala</c:v>
                </c:pt>
                <c:pt idx="57">
                  <c:v>parineetichopra</c:v>
                </c:pt>
                <c:pt idx="58">
                  <c:v>paollaoliveirareal</c:v>
                </c:pt>
                <c:pt idx="59">
                  <c:v>nusr_et</c:v>
                </c:pt>
                <c:pt idx="60">
                  <c:v>norafatehi</c:v>
                </c:pt>
                <c:pt idx="61">
                  <c:v>nikefootball</c:v>
                </c:pt>
                <c:pt idx="62">
                  <c:v>nike</c:v>
                </c:pt>
                <c:pt idx="63">
                  <c:v>nickyjampr</c:v>
                </c:pt>
                <c:pt idx="64">
                  <c:v>nickjonas</c:v>
                </c:pt>
                <c:pt idx="65">
                  <c:v>nickiminaj</c:v>
                </c:pt>
                <c:pt idx="66">
                  <c:v>neymarjr</c:v>
                </c:pt>
                <c:pt idx="67">
                  <c:v>nehakakkar</c:v>
                </c:pt>
                <c:pt idx="68">
                  <c:v>nba</c:v>
                </c:pt>
                <c:pt idx="69">
                  <c:v>nattinatasha</c:v>
                </c:pt>
                <c:pt idx="70">
                  <c:v>natgeotravel</c:v>
                </c:pt>
                <c:pt idx="71">
                  <c:v>natgeo</c:v>
                </c:pt>
                <c:pt idx="72">
                  <c:v>natashawilona12</c:v>
                </c:pt>
                <c:pt idx="73">
                  <c:v>nasa</c:v>
                </c:pt>
                <c:pt idx="74">
                  <c:v>narendramodi</c:v>
                </c:pt>
                <c:pt idx="75">
                  <c:v>nancyajram</c:v>
                </c:pt>
                <c:pt idx="76">
                  <c:v>mosalah</c:v>
                </c:pt>
                <c:pt idx="77">
                  <c:v>milliebobbybrown</c:v>
                </c:pt>
                <c:pt idx="78">
                  <c:v>mileycyrus</c:v>
                </c:pt>
                <c:pt idx="79">
                  <c:v>michelleobama</c:v>
                </c:pt>
                <c:pt idx="80">
                  <c:v>mercedesbenz</c:v>
                </c:pt>
                <c:pt idx="81">
                  <c:v>marvelstudios</c:v>
                </c:pt>
                <c:pt idx="82">
                  <c:v>marvel</c:v>
                </c:pt>
                <c:pt idx="83">
                  <c:v>marinaruybarbosa</c:v>
                </c:pt>
                <c:pt idx="84">
                  <c:v>mariliamendoncacantora</c:v>
                </c:pt>
                <c:pt idx="85">
                  <c:v>marcelotwelve</c:v>
                </c:pt>
                <c:pt idx="86">
                  <c:v>manchesterunited</c:v>
                </c:pt>
                <c:pt idx="87">
                  <c:v>maluma</c:v>
                </c:pt>
                <c:pt idx="88">
                  <c:v>maisa</c:v>
                </c:pt>
                <c:pt idx="89">
                  <c:v>mahi7781</c:v>
                </c:pt>
                <c:pt idx="90">
                  <c:v>lunamaya</c:v>
                </c:pt>
                <c:pt idx="91">
                  <c:v>luissuarez9</c:v>
                </c:pt>
                <c:pt idx="92">
                  <c:v>luansantana</c:v>
                </c:pt>
                <c:pt idx="93">
                  <c:v>louisvuitton</c:v>
                </c:pt>
                <c:pt idx="94">
                  <c:v>liverpoolfc</c:v>
                </c:pt>
                <c:pt idx="95">
                  <c:v>leonardodicaprio</c:v>
                </c:pt>
                <c:pt idx="96">
                  <c:v>leomessi</c:v>
                </c:pt>
                <c:pt idx="97">
                  <c:v>lelepons</c:v>
                </c:pt>
                <c:pt idx="98">
                  <c:v>laudyacynthiabella</c:v>
                </c:pt>
                <c:pt idx="99">
                  <c:v>larissamanoela</c:v>
                </c:pt>
                <c:pt idx="100">
                  <c:v>lalalalisa_m</c:v>
                </c:pt>
                <c:pt idx="101">
                  <c:v>ladygaga</c:v>
                </c:pt>
                <c:pt idx="102">
                  <c:v>kyliejenner</c:v>
                </c:pt>
                <c:pt idx="103">
                  <c:v>kritisanon</c:v>
                </c:pt>
                <c:pt idx="104">
                  <c:v>krisjenner</c:v>
                </c:pt>
                <c:pt idx="105">
                  <c:v>kourtneykardash</c:v>
                </c:pt>
                <c:pt idx="106">
                  <c:v>kingjames</c:v>
                </c:pt>
                <c:pt idx="107">
                  <c:v>kimkardashian</c:v>
                </c:pt>
                <c:pt idx="108">
                  <c:v>kimberly.loaiza</c:v>
                </c:pt>
                <c:pt idx="109">
                  <c:v>khloekardashian</c:v>
                </c:pt>
                <c:pt idx="110">
                  <c:v>khabib_nurmagomedov</c:v>
                </c:pt>
                <c:pt idx="111">
                  <c:v>kevinhart4real</c:v>
                </c:pt>
                <c:pt idx="112">
                  <c:v>kendalljenner</c:v>
                </c:pt>
                <c:pt idx="113">
                  <c:v>katyperry</c:v>
                </c:pt>
                <c:pt idx="114">
                  <c:v>katrinakaif</c:v>
                </c:pt>
                <c:pt idx="115">
                  <c:v>karolg</c:v>
                </c:pt>
                <c:pt idx="116">
                  <c:v>karimbenzema</c:v>
                </c:pt>
                <c:pt idx="117">
                  <c:v>kapilsharma</c:v>
                </c:pt>
                <c:pt idx="118">
                  <c:v>k.mbappe</c:v>
                </c:pt>
                <c:pt idx="119">
                  <c:v>juventus</c:v>
                </c:pt>
                <c:pt idx="120">
                  <c:v>justintimberlake</c:v>
                </c:pt>
                <c:pt idx="121">
                  <c:v>justinbieber</c:v>
                </c:pt>
                <c:pt idx="122">
                  <c:v>jokowi</c:v>
                </c:pt>
                <c:pt idx="123">
                  <c:v>jlo</c:v>
                </c:pt>
                <c:pt idx="124">
                  <c:v>jenniferaniston</c:v>
                </c:pt>
                <c:pt idx="125">
                  <c:v>jennierubyjane</c:v>
                </c:pt>
                <c:pt idx="126">
                  <c:v>jbalvin</c:v>
                </c:pt>
                <c:pt idx="127">
                  <c:v>jannatzubair29</c:v>
                </c:pt>
                <c:pt idx="128">
                  <c:v>jamesrodriguez10</c:v>
                </c:pt>
                <c:pt idx="129">
                  <c:v>jacquelinef143</c:v>
                </c:pt>
                <c:pt idx="130">
                  <c:v>j.m</c:v>
                </c:pt>
                <c:pt idx="131">
                  <c:v>ivetesangalo</c:v>
                </c:pt>
                <c:pt idx="132">
                  <c:v>iamzlatanibrahimovic</c:v>
                </c:pt>
                <c:pt idx="133">
                  <c:v>iamcardib</c:v>
                </c:pt>
                <c:pt idx="134">
                  <c:v>iambeckyg</c:v>
                </c:pt>
                <c:pt idx="135">
                  <c:v>hudabeauty</c:v>
                </c:pt>
                <c:pt idx="136">
                  <c:v>hrithikroshan</c:v>
                </c:pt>
                <c:pt idx="137">
                  <c:v>hm</c:v>
                </c:pt>
                <c:pt idx="138">
                  <c:v>harrystyles</c:v>
                </c:pt>
                <c:pt idx="139">
                  <c:v>haileybieber</c:v>
                </c:pt>
                <c:pt idx="140">
                  <c:v>gusttavolima</c:v>
                </c:pt>
                <c:pt idx="141">
                  <c:v>gucci</c:v>
                </c:pt>
                <c:pt idx="142">
                  <c:v>gisel_la</c:v>
                </c:pt>
                <c:pt idx="143">
                  <c:v>gigihadid</c:v>
                </c:pt>
                <c:pt idx="144">
                  <c:v>georginagio</c:v>
                </c:pt>
                <c:pt idx="145">
                  <c:v>garethbale11</c:v>
                </c:pt>
                <c:pt idx="146">
                  <c:v>gal_gadot</c:v>
                </c:pt>
                <c:pt idx="147">
                  <c:v>fcbarcelona</c:v>
                </c:pt>
                <c:pt idx="148">
                  <c:v>emmawatson</c:v>
                </c:pt>
                <c:pt idx="149">
                  <c:v>eminem</c:v>
                </c:pt>
                <c:pt idx="150">
                  <c:v>dualipa</c:v>
                </c:pt>
                <c:pt idx="151">
                  <c:v>dovecameron</c:v>
                </c:pt>
                <c:pt idx="152">
                  <c:v>disney</c:v>
                </c:pt>
                <c:pt idx="153">
                  <c:v>dishapatani</c:v>
                </c:pt>
                <c:pt idx="154">
                  <c:v>dior</c:v>
                </c:pt>
                <c:pt idx="155">
                  <c:v>deepikapadukone</c:v>
                </c:pt>
                <c:pt idx="156">
                  <c:v>ddlovato</c:v>
                </c:pt>
                <c:pt idx="157">
                  <c:v>davidbeckham</c:v>
                </c:pt>
                <c:pt idx="158">
                  <c:v>dannapaola</c:v>
                </c:pt>
                <c:pt idx="159">
                  <c:v>danbilzerian</c:v>
                </c:pt>
                <c:pt idx="160">
                  <c:v>daddyyankee</c:v>
                </c:pt>
                <c:pt idx="161">
                  <c:v>cznburak</c:v>
                </c:pt>
                <c:pt idx="162">
                  <c:v>cristiano</c:v>
                </c:pt>
                <c:pt idx="163">
                  <c:v>colesprouse</c:v>
                </c:pt>
                <c:pt idx="164">
                  <c:v>chrissyteigen</c:v>
                </c:pt>
                <c:pt idx="165">
                  <c:v>chrishemsworth</c:v>
                </c:pt>
                <c:pt idx="166">
                  <c:v>chrisbrownofficial</c:v>
                </c:pt>
                <c:pt idx="167">
                  <c:v>charlidamelio</c:v>
                </c:pt>
                <c:pt idx="168">
                  <c:v>champagnepapi</c:v>
                </c:pt>
                <c:pt idx="169">
                  <c:v>caradelevingne</c:v>
                </c:pt>
                <c:pt idx="170">
                  <c:v>camila_cabello</c:v>
                </c:pt>
                <c:pt idx="171">
                  <c:v>buzzfeedtasty</c:v>
                </c:pt>
                <c:pt idx="172">
                  <c:v>bts.bighitofficial</c:v>
                </c:pt>
                <c:pt idx="173">
                  <c:v>brunamarquezine</c:v>
                </c:pt>
                <c:pt idx="174">
                  <c:v>britneyspears</c:v>
                </c:pt>
                <c:pt idx="175">
                  <c:v>bmw</c:v>
                </c:pt>
                <c:pt idx="176">
                  <c:v>blakelively</c:v>
                </c:pt>
                <c:pt idx="177">
                  <c:v>blackpinkofficial</c:v>
                </c:pt>
                <c:pt idx="178">
                  <c:v>billieeilish</c:v>
                </c:pt>
                <c:pt idx="179">
                  <c:v>beyonce</c:v>
                </c:pt>
                <c:pt idx="180">
                  <c:v>bellahadid</c:v>
                </c:pt>
                <c:pt idx="181">
                  <c:v>beingsalmankhan</c:v>
                </c:pt>
                <c:pt idx="182">
                  <c:v>barackobama</c:v>
                </c:pt>
                <c:pt idx="183">
                  <c:v>badgalriri</c:v>
                </c:pt>
                <c:pt idx="184">
                  <c:v>badbunnypr</c:v>
                </c:pt>
                <c:pt idx="185">
                  <c:v>ayutingting92</c:v>
                </c:pt>
                <c:pt idx="186">
                  <c:v>arianagrande</c:v>
                </c:pt>
                <c:pt idx="187">
                  <c:v>anushkasharma</c:v>
                </c:pt>
                <c:pt idx="188">
                  <c:v>anushkasen0408</c:v>
                </c:pt>
                <c:pt idx="189">
                  <c:v>antogriezmann</c:v>
                </c:pt>
                <c:pt idx="190">
                  <c:v>anitta</c:v>
                </c:pt>
                <c:pt idx="191">
                  <c:v>andresiniesta8</c:v>
                </c:pt>
                <c:pt idx="192">
                  <c:v>aliaabhatt</c:v>
                </c:pt>
                <c:pt idx="193">
                  <c:v>akshaykumar</c:v>
                </c:pt>
                <c:pt idx="194">
                  <c:v>adidasoriginals</c:v>
                </c:pt>
                <c:pt idx="195">
                  <c:v>adele</c:v>
                </c:pt>
                <c:pt idx="196">
                  <c:v>addisonraee</c:v>
                </c:pt>
                <c:pt idx="197">
                  <c:v>9gag</c:v>
                </c:pt>
                <c:pt idx="198">
                  <c:v>5-Minute Crafts GIRLY</c:v>
                </c:pt>
                <c:pt idx="199">
                  <c:v>433</c:v>
                </c:pt>
              </c:strCache>
            </c:strRef>
          </c:cat>
          <c:val>
            <c:numRef>
              <c:f>'Influence Score'!$B$4:$B$204</c:f>
              <c:numCache>
                <c:formatCode>General</c:formatCode>
                <c:ptCount val="200"/>
                <c:pt idx="0">
                  <c:v>41</c:v>
                </c:pt>
                <c:pt idx="1">
                  <c:v>87</c:v>
                </c:pt>
                <c:pt idx="2">
                  <c:v>82</c:v>
                </c:pt>
                <c:pt idx="3">
                  <c:v>86</c:v>
                </c:pt>
                <c:pt idx="4">
                  <c:v>78</c:v>
                </c:pt>
                <c:pt idx="5">
                  <c:v>80</c:v>
                </c:pt>
                <c:pt idx="6">
                  <c:v>82</c:v>
                </c:pt>
                <c:pt idx="7">
                  <c:v>79</c:v>
                </c:pt>
                <c:pt idx="8">
                  <c:v>80</c:v>
                </c:pt>
                <c:pt idx="9">
                  <c:v>87</c:v>
                </c:pt>
                <c:pt idx="10">
                  <c:v>88</c:v>
                </c:pt>
                <c:pt idx="11">
                  <c:v>88</c:v>
                </c:pt>
                <c:pt idx="12">
                  <c:v>84</c:v>
                </c:pt>
                <c:pt idx="13">
                  <c:v>84</c:v>
                </c:pt>
                <c:pt idx="14">
                  <c:v>86</c:v>
                </c:pt>
                <c:pt idx="15">
                  <c:v>78</c:v>
                </c:pt>
                <c:pt idx="16">
                  <c:v>83</c:v>
                </c:pt>
                <c:pt idx="17">
                  <c:v>77</c:v>
                </c:pt>
                <c:pt idx="18">
                  <c:v>83</c:v>
                </c:pt>
                <c:pt idx="19">
                  <c:v>83</c:v>
                </c:pt>
                <c:pt idx="20">
                  <c:v>83</c:v>
                </c:pt>
                <c:pt idx="21">
                  <c:v>91</c:v>
                </c:pt>
                <c:pt idx="22">
                  <c:v>82</c:v>
                </c:pt>
                <c:pt idx="23">
                  <c:v>87</c:v>
                </c:pt>
                <c:pt idx="24">
                  <c:v>80</c:v>
                </c:pt>
                <c:pt idx="25">
                  <c:v>91</c:v>
                </c:pt>
                <c:pt idx="26">
                  <c:v>86</c:v>
                </c:pt>
                <c:pt idx="27">
                  <c:v>84</c:v>
                </c:pt>
                <c:pt idx="28">
                  <c:v>84</c:v>
                </c:pt>
                <c:pt idx="29">
                  <c:v>82</c:v>
                </c:pt>
                <c:pt idx="30">
                  <c:v>75</c:v>
                </c:pt>
                <c:pt idx="31">
                  <c:v>86</c:v>
                </c:pt>
                <c:pt idx="32">
                  <c:v>72</c:v>
                </c:pt>
                <c:pt idx="33">
                  <c:v>81</c:v>
                </c:pt>
                <c:pt idx="34">
                  <c:v>83</c:v>
                </c:pt>
                <c:pt idx="35">
                  <c:v>83</c:v>
                </c:pt>
                <c:pt idx="36">
                  <c:v>88</c:v>
                </c:pt>
                <c:pt idx="37">
                  <c:v>82</c:v>
                </c:pt>
                <c:pt idx="38">
                  <c:v>87</c:v>
                </c:pt>
                <c:pt idx="39">
                  <c:v>93</c:v>
                </c:pt>
                <c:pt idx="40">
                  <c:v>76</c:v>
                </c:pt>
                <c:pt idx="41">
                  <c:v>75</c:v>
                </c:pt>
                <c:pt idx="42">
                  <c:v>82</c:v>
                </c:pt>
                <c:pt idx="43">
                  <c:v>78</c:v>
                </c:pt>
                <c:pt idx="44">
                  <c:v>86</c:v>
                </c:pt>
                <c:pt idx="45">
                  <c:v>83</c:v>
                </c:pt>
                <c:pt idx="46">
                  <c:v>90</c:v>
                </c:pt>
                <c:pt idx="47">
                  <c:v>85</c:v>
                </c:pt>
                <c:pt idx="48">
                  <c:v>80</c:v>
                </c:pt>
                <c:pt idx="49">
                  <c:v>83</c:v>
                </c:pt>
                <c:pt idx="50">
                  <c:v>86</c:v>
                </c:pt>
                <c:pt idx="51">
                  <c:v>85</c:v>
                </c:pt>
                <c:pt idx="52">
                  <c:v>81</c:v>
                </c:pt>
                <c:pt idx="53">
                  <c:v>84</c:v>
                </c:pt>
                <c:pt idx="54">
                  <c:v>84</c:v>
                </c:pt>
                <c:pt idx="55">
                  <c:v>80</c:v>
                </c:pt>
                <c:pt idx="56">
                  <c:v>85</c:v>
                </c:pt>
                <c:pt idx="57">
                  <c:v>84</c:v>
                </c:pt>
                <c:pt idx="58">
                  <c:v>84</c:v>
                </c:pt>
                <c:pt idx="59">
                  <c:v>81</c:v>
                </c:pt>
                <c:pt idx="60">
                  <c:v>83</c:v>
                </c:pt>
                <c:pt idx="61">
                  <c:v>85</c:v>
                </c:pt>
                <c:pt idx="62">
                  <c:v>90</c:v>
                </c:pt>
                <c:pt idx="63">
                  <c:v>81</c:v>
                </c:pt>
                <c:pt idx="64">
                  <c:v>78</c:v>
                </c:pt>
                <c:pt idx="65">
                  <c:v>90</c:v>
                </c:pt>
                <c:pt idx="66">
                  <c:v>90</c:v>
                </c:pt>
                <c:pt idx="67">
                  <c:v>84</c:v>
                </c:pt>
                <c:pt idx="68">
                  <c:v>87</c:v>
                </c:pt>
                <c:pt idx="69">
                  <c:v>47</c:v>
                </c:pt>
                <c:pt idx="70">
                  <c:v>82</c:v>
                </c:pt>
                <c:pt idx="71">
                  <c:v>91</c:v>
                </c:pt>
                <c:pt idx="72">
                  <c:v>84</c:v>
                </c:pt>
                <c:pt idx="73">
                  <c:v>88</c:v>
                </c:pt>
                <c:pt idx="74">
                  <c:v>85</c:v>
                </c:pt>
                <c:pt idx="75">
                  <c:v>81</c:v>
                </c:pt>
                <c:pt idx="76">
                  <c:v>22</c:v>
                </c:pt>
                <c:pt idx="77">
                  <c:v>80</c:v>
                </c:pt>
                <c:pt idx="78">
                  <c:v>89</c:v>
                </c:pt>
                <c:pt idx="79">
                  <c:v>85</c:v>
                </c:pt>
                <c:pt idx="80">
                  <c:v>77</c:v>
                </c:pt>
                <c:pt idx="81">
                  <c:v>83</c:v>
                </c:pt>
                <c:pt idx="82">
                  <c:v>82</c:v>
                </c:pt>
                <c:pt idx="83">
                  <c:v>81</c:v>
                </c:pt>
                <c:pt idx="84">
                  <c:v>73</c:v>
                </c:pt>
                <c:pt idx="85">
                  <c:v>86</c:v>
                </c:pt>
                <c:pt idx="86">
                  <c:v>85</c:v>
                </c:pt>
                <c:pt idx="87">
                  <c:v>84</c:v>
                </c:pt>
                <c:pt idx="88">
                  <c:v>42</c:v>
                </c:pt>
                <c:pt idx="89">
                  <c:v>58</c:v>
                </c:pt>
                <c:pt idx="90">
                  <c:v>83</c:v>
                </c:pt>
                <c:pt idx="91">
                  <c:v>85</c:v>
                </c:pt>
                <c:pt idx="92">
                  <c:v>79</c:v>
                </c:pt>
                <c:pt idx="93">
                  <c:v>82</c:v>
                </c:pt>
                <c:pt idx="94">
                  <c:v>75</c:v>
                </c:pt>
                <c:pt idx="95">
                  <c:v>86</c:v>
                </c:pt>
                <c:pt idx="96">
                  <c:v>90</c:v>
                </c:pt>
                <c:pt idx="97">
                  <c:v>81</c:v>
                </c:pt>
                <c:pt idx="98">
                  <c:v>76</c:v>
                </c:pt>
                <c:pt idx="99">
                  <c:v>85</c:v>
                </c:pt>
                <c:pt idx="100">
                  <c:v>70</c:v>
                </c:pt>
                <c:pt idx="101">
                  <c:v>83</c:v>
                </c:pt>
                <c:pt idx="102">
                  <c:v>91</c:v>
                </c:pt>
                <c:pt idx="103">
                  <c:v>76</c:v>
                </c:pt>
                <c:pt idx="104">
                  <c:v>80</c:v>
                </c:pt>
                <c:pt idx="105">
                  <c:v>89</c:v>
                </c:pt>
                <c:pt idx="106">
                  <c:v>86</c:v>
                </c:pt>
                <c:pt idx="107">
                  <c:v>91</c:v>
                </c:pt>
                <c:pt idx="108">
                  <c:v>78</c:v>
                </c:pt>
                <c:pt idx="109">
                  <c:v>89</c:v>
                </c:pt>
                <c:pt idx="110">
                  <c:v>63</c:v>
                </c:pt>
                <c:pt idx="111">
                  <c:v>88</c:v>
                </c:pt>
                <c:pt idx="112">
                  <c:v>90</c:v>
                </c:pt>
                <c:pt idx="113">
                  <c:v>92</c:v>
                </c:pt>
                <c:pt idx="114">
                  <c:v>85</c:v>
                </c:pt>
                <c:pt idx="115">
                  <c:v>83</c:v>
                </c:pt>
                <c:pt idx="116">
                  <c:v>42</c:v>
                </c:pt>
                <c:pt idx="117">
                  <c:v>83</c:v>
                </c:pt>
                <c:pt idx="118">
                  <c:v>86</c:v>
                </c:pt>
                <c:pt idx="119">
                  <c:v>87</c:v>
                </c:pt>
                <c:pt idx="120">
                  <c:v>87</c:v>
                </c:pt>
                <c:pt idx="121">
                  <c:v>91</c:v>
                </c:pt>
                <c:pt idx="122">
                  <c:v>85</c:v>
                </c:pt>
                <c:pt idx="123">
                  <c:v>89</c:v>
                </c:pt>
                <c:pt idx="124">
                  <c:v>85</c:v>
                </c:pt>
                <c:pt idx="125">
                  <c:v>76</c:v>
                </c:pt>
                <c:pt idx="126">
                  <c:v>87</c:v>
                </c:pt>
                <c:pt idx="127">
                  <c:v>84</c:v>
                </c:pt>
                <c:pt idx="128">
                  <c:v>86</c:v>
                </c:pt>
                <c:pt idx="129">
                  <c:v>85</c:v>
                </c:pt>
                <c:pt idx="130">
                  <c:v>83</c:v>
                </c:pt>
                <c:pt idx="131">
                  <c:v>84</c:v>
                </c:pt>
                <c:pt idx="132">
                  <c:v>86</c:v>
                </c:pt>
                <c:pt idx="133">
                  <c:v>75</c:v>
                </c:pt>
                <c:pt idx="134">
                  <c:v>71</c:v>
                </c:pt>
                <c:pt idx="135">
                  <c:v>82</c:v>
                </c:pt>
                <c:pt idx="136">
                  <c:v>85</c:v>
                </c:pt>
                <c:pt idx="137">
                  <c:v>83</c:v>
                </c:pt>
                <c:pt idx="138">
                  <c:v>57</c:v>
                </c:pt>
                <c:pt idx="139">
                  <c:v>85</c:v>
                </c:pt>
                <c:pt idx="140">
                  <c:v>76</c:v>
                </c:pt>
                <c:pt idx="141">
                  <c:v>86</c:v>
                </c:pt>
                <c:pt idx="142">
                  <c:v>85</c:v>
                </c:pt>
                <c:pt idx="143">
                  <c:v>85</c:v>
                </c:pt>
                <c:pt idx="144">
                  <c:v>74</c:v>
                </c:pt>
                <c:pt idx="145">
                  <c:v>86</c:v>
                </c:pt>
                <c:pt idx="146">
                  <c:v>85</c:v>
                </c:pt>
                <c:pt idx="147">
                  <c:v>90</c:v>
                </c:pt>
                <c:pt idx="148">
                  <c:v>87</c:v>
                </c:pt>
                <c:pt idx="149">
                  <c:v>84</c:v>
                </c:pt>
                <c:pt idx="150">
                  <c:v>74</c:v>
                </c:pt>
                <c:pt idx="151">
                  <c:v>85</c:v>
                </c:pt>
                <c:pt idx="152">
                  <c:v>77</c:v>
                </c:pt>
                <c:pt idx="153">
                  <c:v>74</c:v>
                </c:pt>
                <c:pt idx="154">
                  <c:v>85</c:v>
                </c:pt>
                <c:pt idx="155">
                  <c:v>83</c:v>
                </c:pt>
                <c:pt idx="156">
                  <c:v>88</c:v>
                </c:pt>
                <c:pt idx="157">
                  <c:v>86</c:v>
                </c:pt>
                <c:pt idx="158">
                  <c:v>68</c:v>
                </c:pt>
                <c:pt idx="159">
                  <c:v>84</c:v>
                </c:pt>
                <c:pt idx="160">
                  <c:v>80</c:v>
                </c:pt>
                <c:pt idx="161">
                  <c:v>80</c:v>
                </c:pt>
                <c:pt idx="162">
                  <c:v>92</c:v>
                </c:pt>
                <c:pt idx="163">
                  <c:v>81</c:v>
                </c:pt>
                <c:pt idx="164">
                  <c:v>79</c:v>
                </c:pt>
                <c:pt idx="165">
                  <c:v>86</c:v>
                </c:pt>
                <c:pt idx="166">
                  <c:v>86</c:v>
                </c:pt>
                <c:pt idx="167">
                  <c:v>80</c:v>
                </c:pt>
                <c:pt idx="168">
                  <c:v>85</c:v>
                </c:pt>
                <c:pt idx="169">
                  <c:v>86</c:v>
                </c:pt>
                <c:pt idx="170">
                  <c:v>77</c:v>
                </c:pt>
                <c:pt idx="171">
                  <c:v>85</c:v>
                </c:pt>
                <c:pt idx="172">
                  <c:v>78</c:v>
                </c:pt>
                <c:pt idx="173">
                  <c:v>84</c:v>
                </c:pt>
                <c:pt idx="174">
                  <c:v>80</c:v>
                </c:pt>
                <c:pt idx="175">
                  <c:v>79</c:v>
                </c:pt>
                <c:pt idx="176">
                  <c:v>80</c:v>
                </c:pt>
                <c:pt idx="177">
                  <c:v>85</c:v>
                </c:pt>
                <c:pt idx="178">
                  <c:v>73</c:v>
                </c:pt>
                <c:pt idx="179">
                  <c:v>92</c:v>
                </c:pt>
                <c:pt idx="180">
                  <c:v>79</c:v>
                </c:pt>
                <c:pt idx="181">
                  <c:v>76</c:v>
                </c:pt>
                <c:pt idx="182">
                  <c:v>81</c:v>
                </c:pt>
                <c:pt idx="183">
                  <c:v>88</c:v>
                </c:pt>
                <c:pt idx="184">
                  <c:v>83</c:v>
                </c:pt>
                <c:pt idx="185">
                  <c:v>85</c:v>
                </c:pt>
                <c:pt idx="186">
                  <c:v>92</c:v>
                </c:pt>
                <c:pt idx="187">
                  <c:v>85</c:v>
                </c:pt>
                <c:pt idx="188">
                  <c:v>85</c:v>
                </c:pt>
                <c:pt idx="189">
                  <c:v>83</c:v>
                </c:pt>
                <c:pt idx="190">
                  <c:v>82</c:v>
                </c:pt>
                <c:pt idx="191">
                  <c:v>85</c:v>
                </c:pt>
                <c:pt idx="192">
                  <c:v>82</c:v>
                </c:pt>
                <c:pt idx="193">
                  <c:v>85</c:v>
                </c:pt>
                <c:pt idx="194">
                  <c:v>83</c:v>
                </c:pt>
                <c:pt idx="195">
                  <c:v>84</c:v>
                </c:pt>
                <c:pt idx="196">
                  <c:v>85</c:v>
                </c:pt>
                <c:pt idx="197">
                  <c:v>86</c:v>
                </c:pt>
                <c:pt idx="198">
                  <c:v>85</c:v>
                </c:pt>
                <c:pt idx="199">
                  <c:v>79</c:v>
                </c:pt>
              </c:numCache>
            </c:numRef>
          </c:val>
          <c:extLst>
            <c:ext xmlns:c16="http://schemas.microsoft.com/office/drawing/2014/chart" uri="{C3380CC4-5D6E-409C-BE32-E72D297353CC}">
              <c16:uniqueId val="{00000000-4949-483A-A6E8-BA9194060A99}"/>
            </c:ext>
          </c:extLst>
        </c:ser>
        <c:dLbls>
          <c:showLegendKey val="0"/>
          <c:showVal val="0"/>
          <c:showCatName val="0"/>
          <c:showSerName val="0"/>
          <c:showPercent val="0"/>
          <c:showBubbleSize val="0"/>
        </c:dLbls>
        <c:gapWidth val="182"/>
        <c:axId val="215863231"/>
        <c:axId val="215846911"/>
      </c:barChart>
      <c:catAx>
        <c:axId val="21586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46911"/>
        <c:crosses val="autoZero"/>
        <c:auto val="1"/>
        <c:lblAlgn val="ctr"/>
        <c:lblOffset val="100"/>
        <c:noMultiLvlLbl val="0"/>
      </c:catAx>
      <c:valAx>
        <c:axId val="215846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6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[project_4_top_influencers.xlsx]Followers&amp;Engagement by Country!PivotTable2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'Followers&amp;Engagement by Country'!$B$3</c:f>
              <c:strCache>
                <c:ptCount val="1"/>
                <c:pt idx="0">
                  <c:v>Count of followers</c:v>
                </c:pt>
              </c:strCache>
            </c:strRef>
          </c:tx>
          <c:spPr>
            <a:solidFill>
              <a:schemeClr val="accent1"/>
            </a:solidFill>
            <a:ln>
              <a:noFill/>
            </a:ln>
            <a:effectLst/>
          </c:spPr>
          <c:invertIfNegative val="0"/>
          <c:cat>
            <c:strRef>
              <c:f>'Followers&amp;Engagement by Country'!$A$4:$A$30</c:f>
              <c:strCache>
                <c:ptCount val="26"/>
                <c:pt idx="0">
                  <c:v>Anguilla</c:v>
                </c:pt>
                <c:pt idx="1">
                  <c:v>Australia</c:v>
                </c:pt>
                <c:pt idx="2">
                  <c:v>Brazil</c:v>
                </c:pt>
                <c:pt idx="3">
                  <c:v>British Virgin Islands</c:v>
                </c:pt>
                <c:pt idx="4">
                  <c:v>CÃ´te d'Ivoire</c:v>
                </c:pt>
                <c:pt idx="5">
                  <c:v>Canada</c:v>
                </c:pt>
                <c:pt idx="6">
                  <c:v>Colombia</c:v>
                </c:pt>
                <c:pt idx="7">
                  <c:v>Czech Republic</c:v>
                </c:pt>
                <c:pt idx="8">
                  <c:v>France</c:v>
                </c:pt>
                <c:pt idx="9">
                  <c:v>Germany</c:v>
                </c:pt>
                <c:pt idx="10">
                  <c:v>India</c:v>
                </c:pt>
                <c:pt idx="11">
                  <c:v>Indonesia</c:v>
                </c:pt>
                <c:pt idx="12">
                  <c:v>Italy</c:v>
                </c:pt>
                <c:pt idx="13">
                  <c:v>Mexico</c:v>
                </c:pt>
                <c:pt idx="14">
                  <c:v>Netherlands</c:v>
                </c:pt>
                <c:pt idx="15">
                  <c:v>Puerto Rico</c:v>
                </c:pt>
                <c:pt idx="16">
                  <c:v>Russia</c:v>
                </c:pt>
                <c:pt idx="17">
                  <c:v>Spain</c:v>
                </c:pt>
                <c:pt idx="18">
                  <c:v>Sweden</c:v>
                </c:pt>
                <c:pt idx="19">
                  <c:v>Switzerland</c:v>
                </c:pt>
                <c:pt idx="20">
                  <c:v>Turkey</c:v>
                </c:pt>
                <c:pt idx="21">
                  <c:v>United Arab Emirates</c:v>
                </c:pt>
                <c:pt idx="22">
                  <c:v>United Kingdom</c:v>
                </c:pt>
                <c:pt idx="23">
                  <c:v>United States</c:v>
                </c:pt>
                <c:pt idx="24">
                  <c:v>Unknown</c:v>
                </c:pt>
                <c:pt idx="25">
                  <c:v>Uruguay</c:v>
                </c:pt>
              </c:strCache>
            </c:strRef>
          </c:cat>
          <c:val>
            <c:numRef>
              <c:f>'Followers&amp;Engagement by Country'!$B$4:$B$30</c:f>
              <c:numCache>
                <c:formatCode>General</c:formatCode>
                <c:ptCount val="26"/>
                <c:pt idx="0">
                  <c:v>1</c:v>
                </c:pt>
                <c:pt idx="1">
                  <c:v>1</c:v>
                </c:pt>
                <c:pt idx="2">
                  <c:v>13</c:v>
                </c:pt>
                <c:pt idx="3">
                  <c:v>1</c:v>
                </c:pt>
                <c:pt idx="4">
                  <c:v>1</c:v>
                </c:pt>
                <c:pt idx="5">
                  <c:v>3</c:v>
                </c:pt>
                <c:pt idx="6">
                  <c:v>3</c:v>
                </c:pt>
                <c:pt idx="7">
                  <c:v>1</c:v>
                </c:pt>
                <c:pt idx="8">
                  <c:v>6</c:v>
                </c:pt>
                <c:pt idx="9">
                  <c:v>1</c:v>
                </c:pt>
                <c:pt idx="10">
                  <c:v>12</c:v>
                </c:pt>
                <c:pt idx="11">
                  <c:v>7</c:v>
                </c:pt>
                <c:pt idx="12">
                  <c:v>1</c:v>
                </c:pt>
                <c:pt idx="13">
                  <c:v>2</c:v>
                </c:pt>
                <c:pt idx="14">
                  <c:v>2</c:v>
                </c:pt>
                <c:pt idx="15">
                  <c:v>1</c:v>
                </c:pt>
                <c:pt idx="16">
                  <c:v>1</c:v>
                </c:pt>
                <c:pt idx="17">
                  <c:v>5</c:v>
                </c:pt>
                <c:pt idx="18">
                  <c:v>1</c:v>
                </c:pt>
                <c:pt idx="19">
                  <c:v>1</c:v>
                </c:pt>
                <c:pt idx="20">
                  <c:v>2</c:v>
                </c:pt>
                <c:pt idx="21">
                  <c:v>1</c:v>
                </c:pt>
                <c:pt idx="22">
                  <c:v>4</c:v>
                </c:pt>
                <c:pt idx="23">
                  <c:v>66</c:v>
                </c:pt>
                <c:pt idx="24">
                  <c:v>62</c:v>
                </c:pt>
                <c:pt idx="25">
                  <c:v>1</c:v>
                </c:pt>
              </c:numCache>
            </c:numRef>
          </c:val>
          <c:extLst>
            <c:ext xmlns:c16="http://schemas.microsoft.com/office/drawing/2014/chart" uri="{C3380CC4-5D6E-409C-BE32-E72D297353CC}">
              <c16:uniqueId val="{00000000-DB61-47A1-A1D8-CE0FF4F50F12}"/>
            </c:ext>
          </c:extLst>
        </c:ser>
        <c:dLbls>
          <c:showLegendKey val="0"/>
          <c:showVal val="0"/>
          <c:showCatName val="0"/>
          <c:showSerName val="0"/>
          <c:showPercent val="0"/>
          <c:showBubbleSize val="0"/>
        </c:dLbls>
        <c:gapWidth val="219"/>
        <c:axId val="1052502959"/>
        <c:axId val="1052505839"/>
      </c:barChart>
      <c:lineChart>
        <c:grouping val="standard"/>
        <c:varyColors val="0"/>
        <c:ser>
          <c:idx val="1"/>
          <c:order val="1"/>
          <c:tx>
            <c:strRef>
              <c:f>'Followers&amp;Engagement by Country'!$C$3</c:f>
              <c:strCache>
                <c:ptCount val="1"/>
                <c:pt idx="0">
                  <c:v>Average of Engagement Rate (%)</c:v>
                </c:pt>
              </c:strCache>
            </c:strRef>
          </c:tx>
          <c:spPr>
            <a:ln w="28575" cap="rnd">
              <a:solidFill>
                <a:schemeClr val="accent2"/>
              </a:solidFill>
              <a:round/>
            </a:ln>
            <a:effectLst/>
          </c:spPr>
          <c:marker>
            <c:symbol val="none"/>
          </c:marker>
          <c:cat>
            <c:strRef>
              <c:f>'Followers&amp;Engagement by Country'!$A$4:$A$30</c:f>
              <c:strCache>
                <c:ptCount val="26"/>
                <c:pt idx="0">
                  <c:v>Anguilla</c:v>
                </c:pt>
                <c:pt idx="1">
                  <c:v>Australia</c:v>
                </c:pt>
                <c:pt idx="2">
                  <c:v>Brazil</c:v>
                </c:pt>
                <c:pt idx="3">
                  <c:v>British Virgin Islands</c:v>
                </c:pt>
                <c:pt idx="4">
                  <c:v>CÃ´te d'Ivoire</c:v>
                </c:pt>
                <c:pt idx="5">
                  <c:v>Canada</c:v>
                </c:pt>
                <c:pt idx="6">
                  <c:v>Colombia</c:v>
                </c:pt>
                <c:pt idx="7">
                  <c:v>Czech Republic</c:v>
                </c:pt>
                <c:pt idx="8">
                  <c:v>France</c:v>
                </c:pt>
                <c:pt idx="9">
                  <c:v>Germany</c:v>
                </c:pt>
                <c:pt idx="10">
                  <c:v>India</c:v>
                </c:pt>
                <c:pt idx="11">
                  <c:v>Indonesia</c:v>
                </c:pt>
                <c:pt idx="12">
                  <c:v>Italy</c:v>
                </c:pt>
                <c:pt idx="13">
                  <c:v>Mexico</c:v>
                </c:pt>
                <c:pt idx="14">
                  <c:v>Netherlands</c:v>
                </c:pt>
                <c:pt idx="15">
                  <c:v>Puerto Rico</c:v>
                </c:pt>
                <c:pt idx="16">
                  <c:v>Russia</c:v>
                </c:pt>
                <c:pt idx="17">
                  <c:v>Spain</c:v>
                </c:pt>
                <c:pt idx="18">
                  <c:v>Sweden</c:v>
                </c:pt>
                <c:pt idx="19">
                  <c:v>Switzerland</c:v>
                </c:pt>
                <c:pt idx="20">
                  <c:v>Turkey</c:v>
                </c:pt>
                <c:pt idx="21">
                  <c:v>United Arab Emirates</c:v>
                </c:pt>
                <c:pt idx="22">
                  <c:v>United Kingdom</c:v>
                </c:pt>
                <c:pt idx="23">
                  <c:v>United States</c:v>
                </c:pt>
                <c:pt idx="24">
                  <c:v>Unknown</c:v>
                </c:pt>
                <c:pt idx="25">
                  <c:v>Uruguay</c:v>
                </c:pt>
              </c:strCache>
            </c:strRef>
          </c:cat>
          <c:val>
            <c:numRef>
              <c:f>'Followers&amp;Engagement by Country'!$C$4:$C$30</c:f>
              <c:numCache>
                <c:formatCode>0.00</c:formatCode>
                <c:ptCount val="26"/>
                <c:pt idx="0">
                  <c:v>1.7487980769230769</c:v>
                </c:pt>
                <c:pt idx="1">
                  <c:v>3.7567084078711988</c:v>
                </c:pt>
                <c:pt idx="2">
                  <c:v>0.65180088308794781</c:v>
                </c:pt>
                <c:pt idx="3">
                  <c:v>0.17944444444444443</c:v>
                </c:pt>
                <c:pt idx="4">
                  <c:v>3.6613272311212817</c:v>
                </c:pt>
                <c:pt idx="5">
                  <c:v>2.340683287713988</c:v>
                </c:pt>
                <c:pt idx="6">
                  <c:v>0.71966140691766389</c:v>
                </c:pt>
                <c:pt idx="7">
                  <c:v>0.79637883008356547</c:v>
                </c:pt>
                <c:pt idx="8">
                  <c:v>0.7026976926281856</c:v>
                </c:pt>
                <c:pt idx="9">
                  <c:v>0.22700296735905043</c:v>
                </c:pt>
                <c:pt idx="10">
                  <c:v>2.3431953415523359</c:v>
                </c:pt>
                <c:pt idx="11">
                  <c:v>0.24484400321507779</c:v>
                </c:pt>
                <c:pt idx="12">
                  <c:v>0.14775510204081632</c:v>
                </c:pt>
                <c:pt idx="13">
                  <c:v>4.264317895847709</c:v>
                </c:pt>
                <c:pt idx="14">
                  <c:v>1.2995329483695652</c:v>
                </c:pt>
                <c:pt idx="15">
                  <c:v>0.99193899782135075</c:v>
                </c:pt>
                <c:pt idx="16">
                  <c:v>0.65880597014925368</c:v>
                </c:pt>
                <c:pt idx="17">
                  <c:v>0.77597501653768597</c:v>
                </c:pt>
                <c:pt idx="18">
                  <c:v>5.8181818181818182E-2</c:v>
                </c:pt>
                <c:pt idx="19">
                  <c:v>0.73357843137254908</c:v>
                </c:pt>
                <c:pt idx="20">
                  <c:v>0.519343958780346</c:v>
                </c:pt>
                <c:pt idx="21">
                  <c:v>0.28118393234672306</c:v>
                </c:pt>
                <c:pt idx="22">
                  <c:v>1.0318675781342992</c:v>
                </c:pt>
                <c:pt idx="23">
                  <c:v>1.3753514136028568</c:v>
                </c:pt>
                <c:pt idx="24">
                  <c:v>3.09384000104414</c:v>
                </c:pt>
                <c:pt idx="25">
                  <c:v>5.3811659192825108</c:v>
                </c:pt>
              </c:numCache>
            </c:numRef>
          </c:val>
          <c:smooth val="0"/>
          <c:extLst>
            <c:ext xmlns:c16="http://schemas.microsoft.com/office/drawing/2014/chart" uri="{C3380CC4-5D6E-409C-BE32-E72D297353CC}">
              <c16:uniqueId val="{00000001-DB61-47A1-A1D8-CE0FF4F50F12}"/>
            </c:ext>
          </c:extLst>
        </c:ser>
        <c:dLbls>
          <c:showLegendKey val="0"/>
          <c:showVal val="0"/>
          <c:showCatName val="0"/>
          <c:showSerName val="0"/>
          <c:showPercent val="0"/>
          <c:showBubbleSize val="0"/>
        </c:dLbls>
        <c:marker val="1"/>
        <c:smooth val="0"/>
        <c:axId val="1052502959"/>
        <c:axId val="1052505839"/>
      </c:lineChart>
      <c:catAx>
        <c:axId val="105250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505839"/>
        <c:crosses val="autoZero"/>
        <c:auto val="1"/>
        <c:lblAlgn val="ctr"/>
        <c:lblOffset val="100"/>
        <c:noMultiLvlLbl val="0"/>
      </c:catAx>
      <c:valAx>
        <c:axId val="105250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50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[project_4_top_influencers.xlsx]Average Likes vs Followers!PivotTable3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Likes vs Followers'!$B$3</c:f>
              <c:strCache>
                <c:ptCount val="1"/>
                <c:pt idx="0">
                  <c:v>Sum of avg likes numerical</c:v>
                </c:pt>
              </c:strCache>
            </c:strRef>
          </c:tx>
          <c:spPr>
            <a:solidFill>
              <a:schemeClr val="accent1"/>
            </a:solidFill>
            <a:ln>
              <a:noFill/>
            </a:ln>
            <a:effectLst/>
          </c:spPr>
          <c:invertIfNegative val="0"/>
          <c:cat>
            <c:strRef>
              <c:f>'Average Likes vs Followers'!$A$4:$A$204</c:f>
              <c:strCache>
                <c:ptCount val="200"/>
                <c:pt idx="0">
                  <c:v>433</c:v>
                </c:pt>
                <c:pt idx="1">
                  <c:v>5-Minute Crafts GIRLY</c:v>
                </c:pt>
                <c:pt idx="2">
                  <c:v>9gag</c:v>
                </c:pt>
                <c:pt idx="3">
                  <c:v>addisonraee</c:v>
                </c:pt>
                <c:pt idx="4">
                  <c:v>adele</c:v>
                </c:pt>
                <c:pt idx="5">
                  <c:v>adidasoriginals</c:v>
                </c:pt>
                <c:pt idx="6">
                  <c:v>akshaykumar</c:v>
                </c:pt>
                <c:pt idx="7">
                  <c:v>aliaabhatt</c:v>
                </c:pt>
                <c:pt idx="8">
                  <c:v>andresiniesta8</c:v>
                </c:pt>
                <c:pt idx="9">
                  <c:v>anitta</c:v>
                </c:pt>
                <c:pt idx="10">
                  <c:v>antogriezmann</c:v>
                </c:pt>
                <c:pt idx="11">
                  <c:v>anushkasen0408</c:v>
                </c:pt>
                <c:pt idx="12">
                  <c:v>anushkasharma</c:v>
                </c:pt>
                <c:pt idx="13">
                  <c:v>arianagrande</c:v>
                </c:pt>
                <c:pt idx="14">
                  <c:v>ayutingting92</c:v>
                </c:pt>
                <c:pt idx="15">
                  <c:v>badbunnypr</c:v>
                </c:pt>
                <c:pt idx="16">
                  <c:v>badgalriri</c:v>
                </c:pt>
                <c:pt idx="17">
                  <c:v>barackobama</c:v>
                </c:pt>
                <c:pt idx="18">
                  <c:v>beingsalmankhan</c:v>
                </c:pt>
                <c:pt idx="19">
                  <c:v>bellahadid</c:v>
                </c:pt>
                <c:pt idx="20">
                  <c:v>beyonce</c:v>
                </c:pt>
                <c:pt idx="21">
                  <c:v>billieeilish</c:v>
                </c:pt>
                <c:pt idx="22">
                  <c:v>blackpinkofficial</c:v>
                </c:pt>
                <c:pt idx="23">
                  <c:v>blakelively</c:v>
                </c:pt>
                <c:pt idx="24">
                  <c:v>bmw</c:v>
                </c:pt>
                <c:pt idx="25">
                  <c:v>britneyspears</c:v>
                </c:pt>
                <c:pt idx="26">
                  <c:v>brunamarquezine</c:v>
                </c:pt>
                <c:pt idx="27">
                  <c:v>bts.bighitofficial</c:v>
                </c:pt>
                <c:pt idx="28">
                  <c:v>buzzfeedtasty</c:v>
                </c:pt>
                <c:pt idx="29">
                  <c:v>camila_cabello</c:v>
                </c:pt>
                <c:pt idx="30">
                  <c:v>caradelevingne</c:v>
                </c:pt>
                <c:pt idx="31">
                  <c:v>champagnepapi</c:v>
                </c:pt>
                <c:pt idx="32">
                  <c:v>charlidamelio</c:v>
                </c:pt>
                <c:pt idx="33">
                  <c:v>chrisbrownofficial</c:v>
                </c:pt>
                <c:pt idx="34">
                  <c:v>chrishemsworth</c:v>
                </c:pt>
                <c:pt idx="35">
                  <c:v>chrissyteigen</c:v>
                </c:pt>
                <c:pt idx="36">
                  <c:v>colesprouse</c:v>
                </c:pt>
                <c:pt idx="37">
                  <c:v>cristiano</c:v>
                </c:pt>
                <c:pt idx="38">
                  <c:v>cznburak</c:v>
                </c:pt>
                <c:pt idx="39">
                  <c:v>daddyyankee</c:v>
                </c:pt>
                <c:pt idx="40">
                  <c:v>danbilzerian</c:v>
                </c:pt>
                <c:pt idx="41">
                  <c:v>dannapaola</c:v>
                </c:pt>
                <c:pt idx="42">
                  <c:v>davidbeckham</c:v>
                </c:pt>
                <c:pt idx="43">
                  <c:v>ddlovato</c:v>
                </c:pt>
                <c:pt idx="44">
                  <c:v>deepikapadukone</c:v>
                </c:pt>
                <c:pt idx="45">
                  <c:v>dior</c:v>
                </c:pt>
                <c:pt idx="46">
                  <c:v>dishapatani</c:v>
                </c:pt>
                <c:pt idx="47">
                  <c:v>disney</c:v>
                </c:pt>
                <c:pt idx="48">
                  <c:v>dovecameron</c:v>
                </c:pt>
                <c:pt idx="49">
                  <c:v>dualipa</c:v>
                </c:pt>
                <c:pt idx="50">
                  <c:v>eminem</c:v>
                </c:pt>
                <c:pt idx="51">
                  <c:v>emmawatson</c:v>
                </c:pt>
                <c:pt idx="52">
                  <c:v>fcbarcelona</c:v>
                </c:pt>
                <c:pt idx="53">
                  <c:v>gal_gadot</c:v>
                </c:pt>
                <c:pt idx="54">
                  <c:v>garethbale11</c:v>
                </c:pt>
                <c:pt idx="55">
                  <c:v>georginagio</c:v>
                </c:pt>
                <c:pt idx="56">
                  <c:v>gigihadid</c:v>
                </c:pt>
                <c:pt idx="57">
                  <c:v>gisel_la</c:v>
                </c:pt>
                <c:pt idx="58">
                  <c:v>gucci</c:v>
                </c:pt>
                <c:pt idx="59">
                  <c:v>gusttavolima</c:v>
                </c:pt>
                <c:pt idx="60">
                  <c:v>haileybieber</c:v>
                </c:pt>
                <c:pt idx="61">
                  <c:v>harrystyles</c:v>
                </c:pt>
                <c:pt idx="62">
                  <c:v>hm</c:v>
                </c:pt>
                <c:pt idx="63">
                  <c:v>hrithikroshan</c:v>
                </c:pt>
                <c:pt idx="64">
                  <c:v>hudabeauty</c:v>
                </c:pt>
                <c:pt idx="65">
                  <c:v>iambeckyg</c:v>
                </c:pt>
                <c:pt idx="66">
                  <c:v>iamcardib</c:v>
                </c:pt>
                <c:pt idx="67">
                  <c:v>iamzlatanibrahimovic</c:v>
                </c:pt>
                <c:pt idx="68">
                  <c:v>ivetesangalo</c:v>
                </c:pt>
                <c:pt idx="69">
                  <c:v>j.m</c:v>
                </c:pt>
                <c:pt idx="70">
                  <c:v>jacquelinef143</c:v>
                </c:pt>
                <c:pt idx="71">
                  <c:v>jamesrodriguez10</c:v>
                </c:pt>
                <c:pt idx="72">
                  <c:v>jannatzubair29</c:v>
                </c:pt>
                <c:pt idx="73">
                  <c:v>jbalvin</c:v>
                </c:pt>
                <c:pt idx="74">
                  <c:v>jennierubyjane</c:v>
                </c:pt>
                <c:pt idx="75">
                  <c:v>jenniferaniston</c:v>
                </c:pt>
                <c:pt idx="76">
                  <c:v>jlo</c:v>
                </c:pt>
                <c:pt idx="77">
                  <c:v>jokowi</c:v>
                </c:pt>
                <c:pt idx="78">
                  <c:v>justinbieber</c:v>
                </c:pt>
                <c:pt idx="79">
                  <c:v>justintimberlake</c:v>
                </c:pt>
                <c:pt idx="80">
                  <c:v>juventus</c:v>
                </c:pt>
                <c:pt idx="81">
                  <c:v>k.mbappe</c:v>
                </c:pt>
                <c:pt idx="82">
                  <c:v>kapilsharma</c:v>
                </c:pt>
                <c:pt idx="83">
                  <c:v>karimbenzema</c:v>
                </c:pt>
                <c:pt idx="84">
                  <c:v>karolg</c:v>
                </c:pt>
                <c:pt idx="85">
                  <c:v>katrinakaif</c:v>
                </c:pt>
                <c:pt idx="86">
                  <c:v>katyperry</c:v>
                </c:pt>
                <c:pt idx="87">
                  <c:v>kendalljenner</c:v>
                </c:pt>
                <c:pt idx="88">
                  <c:v>kevinhart4real</c:v>
                </c:pt>
                <c:pt idx="89">
                  <c:v>khabib_nurmagomedov</c:v>
                </c:pt>
                <c:pt idx="90">
                  <c:v>khloekardashian</c:v>
                </c:pt>
                <c:pt idx="91">
                  <c:v>kimberly.loaiza</c:v>
                </c:pt>
                <c:pt idx="92">
                  <c:v>kimkardashian</c:v>
                </c:pt>
                <c:pt idx="93">
                  <c:v>kingjames</c:v>
                </c:pt>
                <c:pt idx="94">
                  <c:v>kourtneykardash</c:v>
                </c:pt>
                <c:pt idx="95">
                  <c:v>krisjenner</c:v>
                </c:pt>
                <c:pt idx="96">
                  <c:v>kritisanon</c:v>
                </c:pt>
                <c:pt idx="97">
                  <c:v>kyliejenner</c:v>
                </c:pt>
                <c:pt idx="98">
                  <c:v>ladygaga</c:v>
                </c:pt>
                <c:pt idx="99">
                  <c:v>lalalalisa_m</c:v>
                </c:pt>
                <c:pt idx="100">
                  <c:v>larissamanoela</c:v>
                </c:pt>
                <c:pt idx="101">
                  <c:v>laudyacynthiabella</c:v>
                </c:pt>
                <c:pt idx="102">
                  <c:v>lelepons</c:v>
                </c:pt>
                <c:pt idx="103">
                  <c:v>leomessi</c:v>
                </c:pt>
                <c:pt idx="104">
                  <c:v>leonardodicaprio</c:v>
                </c:pt>
                <c:pt idx="105">
                  <c:v>liverpoolfc</c:v>
                </c:pt>
                <c:pt idx="106">
                  <c:v>louisvuitton</c:v>
                </c:pt>
                <c:pt idx="107">
                  <c:v>luansantana</c:v>
                </c:pt>
                <c:pt idx="108">
                  <c:v>luissuarez9</c:v>
                </c:pt>
                <c:pt idx="109">
                  <c:v>lunamaya</c:v>
                </c:pt>
                <c:pt idx="110">
                  <c:v>mahi7781</c:v>
                </c:pt>
                <c:pt idx="111">
                  <c:v>maisa</c:v>
                </c:pt>
                <c:pt idx="112">
                  <c:v>maluma</c:v>
                </c:pt>
                <c:pt idx="113">
                  <c:v>manchesterunited</c:v>
                </c:pt>
                <c:pt idx="114">
                  <c:v>marcelotwelve</c:v>
                </c:pt>
                <c:pt idx="115">
                  <c:v>mariliamendoncacantora</c:v>
                </c:pt>
                <c:pt idx="116">
                  <c:v>marinaruybarbosa</c:v>
                </c:pt>
                <c:pt idx="117">
                  <c:v>marvel</c:v>
                </c:pt>
                <c:pt idx="118">
                  <c:v>marvelstudios</c:v>
                </c:pt>
                <c:pt idx="119">
                  <c:v>mercedesbenz</c:v>
                </c:pt>
                <c:pt idx="120">
                  <c:v>michelleobama</c:v>
                </c:pt>
                <c:pt idx="121">
                  <c:v>mileycyrus</c:v>
                </c:pt>
                <c:pt idx="122">
                  <c:v>milliebobbybrown</c:v>
                </c:pt>
                <c:pt idx="123">
                  <c:v>mosalah</c:v>
                </c:pt>
                <c:pt idx="124">
                  <c:v>nancyajram</c:v>
                </c:pt>
                <c:pt idx="125">
                  <c:v>narendramodi</c:v>
                </c:pt>
                <c:pt idx="126">
                  <c:v>nasa</c:v>
                </c:pt>
                <c:pt idx="127">
                  <c:v>natashawilona12</c:v>
                </c:pt>
                <c:pt idx="128">
                  <c:v>natgeo</c:v>
                </c:pt>
                <c:pt idx="129">
                  <c:v>natgeotravel</c:v>
                </c:pt>
                <c:pt idx="130">
                  <c:v>nattinatasha</c:v>
                </c:pt>
                <c:pt idx="131">
                  <c:v>nba</c:v>
                </c:pt>
                <c:pt idx="132">
                  <c:v>nehakakkar</c:v>
                </c:pt>
                <c:pt idx="133">
                  <c:v>neymarjr</c:v>
                </c:pt>
                <c:pt idx="134">
                  <c:v>nickiminaj</c:v>
                </c:pt>
                <c:pt idx="135">
                  <c:v>nickjonas</c:v>
                </c:pt>
                <c:pt idx="136">
                  <c:v>nickyjampr</c:v>
                </c:pt>
                <c:pt idx="137">
                  <c:v>nike</c:v>
                </c:pt>
                <c:pt idx="138">
                  <c:v>nikefootball</c:v>
                </c:pt>
                <c:pt idx="139">
                  <c:v>norafatehi</c:v>
                </c:pt>
                <c:pt idx="140">
                  <c:v>nusr_et</c:v>
                </c:pt>
                <c:pt idx="141">
                  <c:v>paollaoliveirareal</c:v>
                </c:pt>
                <c:pt idx="142">
                  <c:v>parineetichopra</c:v>
                </c:pt>
                <c:pt idx="143">
                  <c:v>paulodybala</c:v>
                </c:pt>
                <c:pt idx="144">
                  <c:v>paulpogba</c:v>
                </c:pt>
                <c:pt idx="145">
                  <c:v>prattprattpratt</c:v>
                </c:pt>
                <c:pt idx="146">
                  <c:v>prillylatuconsina96</c:v>
                </c:pt>
                <c:pt idx="147">
                  <c:v>princessyahrini</c:v>
                </c:pt>
                <c:pt idx="148">
                  <c:v>priyankachopra</c:v>
                </c:pt>
                <c:pt idx="149">
                  <c:v>psg</c:v>
                </c:pt>
                <c:pt idx="150">
                  <c:v>raffinagita1717</c:v>
                </c:pt>
                <c:pt idx="151">
                  <c:v>raisa6690</c:v>
                </c:pt>
                <c:pt idx="152">
                  <c:v>ranveersingh</c:v>
                </c:pt>
                <c:pt idx="153">
                  <c:v>realmadrid</c:v>
                </c:pt>
                <c:pt idx="154">
                  <c:v>rkive</c:v>
                </c:pt>
                <c:pt idx="155">
                  <c:v>robertdowneyjr</c:v>
                </c:pt>
                <c:pt idx="156">
                  <c:v>ronaldinho</c:v>
                </c:pt>
                <c:pt idx="157">
                  <c:v>roses_are_rosie</c:v>
                </c:pt>
                <c:pt idx="158">
                  <c:v>ruben_onsu</c:v>
                </c:pt>
                <c:pt idx="159">
                  <c:v>sachintendulkar</c:v>
                </c:pt>
                <c:pt idx="160">
                  <c:v>selenagomez</c:v>
                </c:pt>
                <c:pt idx="161">
                  <c:v>sergioramos</c:v>
                </c:pt>
                <c:pt idx="162">
                  <c:v>shahidkapoor</c:v>
                </c:pt>
                <c:pt idx="163">
                  <c:v>Shakira</c:v>
                </c:pt>
                <c:pt idx="164">
                  <c:v>shawnmendes</c:v>
                </c:pt>
                <c:pt idx="165">
                  <c:v>shaymitchell</c:v>
                </c:pt>
                <c:pt idx="166">
                  <c:v>shraddhakapoor</c:v>
                </c:pt>
                <c:pt idx="167">
                  <c:v>simonemendes</c:v>
                </c:pt>
                <c:pt idx="168">
                  <c:v>snoopdogg</c:v>
                </c:pt>
                <c:pt idx="169">
                  <c:v>sonamkapoor</c:v>
                </c:pt>
                <c:pt idx="170">
                  <c:v>sooyaaa__</c:v>
                </c:pt>
                <c:pt idx="171">
                  <c:v>stephencurry30</c:v>
                </c:pt>
                <c:pt idx="172">
                  <c:v>sunnyleone</c:v>
                </c:pt>
                <c:pt idx="173">
                  <c:v>tatawerneck</c:v>
                </c:pt>
                <c:pt idx="174">
                  <c:v>taylorswift</c:v>
                </c:pt>
                <c:pt idx="175">
                  <c:v>teddysphotos</c:v>
                </c:pt>
                <c:pt idx="176">
                  <c:v>theellenshow</c:v>
                </c:pt>
                <c:pt idx="177">
                  <c:v>thenotoriousmma</c:v>
                </c:pt>
                <c:pt idx="178">
                  <c:v>therock</c:v>
                </c:pt>
                <c:pt idx="179">
                  <c:v>theweeknd</c:v>
                </c:pt>
                <c:pt idx="180">
                  <c:v>thv</c:v>
                </c:pt>
                <c:pt idx="181">
                  <c:v>tigerjackieshroff</c:v>
                </c:pt>
                <c:pt idx="182">
                  <c:v>tomholland2013</c:v>
                </c:pt>
                <c:pt idx="183">
                  <c:v>toni.kr8s</c:v>
                </c:pt>
                <c:pt idx="184">
                  <c:v>travisscott</c:v>
                </c:pt>
                <c:pt idx="185">
                  <c:v>vancityreynolds</c:v>
                </c:pt>
                <c:pt idx="186">
                  <c:v>vanessahudgens</c:v>
                </c:pt>
                <c:pt idx="187">
                  <c:v>varundvn</c:v>
                </c:pt>
                <c:pt idx="188">
                  <c:v>victoriassecret</c:v>
                </c:pt>
                <c:pt idx="189">
                  <c:v>vindiesel</c:v>
                </c:pt>
                <c:pt idx="190">
                  <c:v>virat.kohli</c:v>
                </c:pt>
                <c:pt idx="191">
                  <c:v>wesleysafadao</c:v>
                </c:pt>
                <c:pt idx="192">
                  <c:v>whinderssonnunes</c:v>
                </c:pt>
                <c:pt idx="193">
                  <c:v>willsmith</c:v>
                </c:pt>
                <c:pt idx="194">
                  <c:v>wizkhalifa</c:v>
                </c:pt>
                <c:pt idx="195">
                  <c:v>worldstar</c:v>
                </c:pt>
                <c:pt idx="196">
                  <c:v>zacefron</c:v>
                </c:pt>
                <c:pt idx="197">
                  <c:v>zayn</c:v>
                </c:pt>
                <c:pt idx="198">
                  <c:v>zendaya</c:v>
                </c:pt>
                <c:pt idx="199">
                  <c:v>zidane</c:v>
                </c:pt>
              </c:strCache>
            </c:strRef>
          </c:cat>
          <c:val>
            <c:numRef>
              <c:f>'Average Likes vs Followers'!$B$4:$B$204</c:f>
              <c:numCache>
                <c:formatCode>#,##0.00</c:formatCode>
                <c:ptCount val="200"/>
                <c:pt idx="0">
                  <c:v>863200</c:v>
                </c:pt>
                <c:pt idx="1">
                  <c:v>157000</c:v>
                </c:pt>
                <c:pt idx="2">
                  <c:v>672600</c:v>
                </c:pt>
                <c:pt idx="3">
                  <c:v>3100000</c:v>
                </c:pt>
                <c:pt idx="4">
                  <c:v>4700000</c:v>
                </c:pt>
                <c:pt idx="5">
                  <c:v>136200</c:v>
                </c:pt>
                <c:pt idx="6">
                  <c:v>1500000</c:v>
                </c:pt>
                <c:pt idx="7">
                  <c:v>1800000</c:v>
                </c:pt>
                <c:pt idx="8">
                  <c:v>250800</c:v>
                </c:pt>
                <c:pt idx="9">
                  <c:v>855500</c:v>
                </c:pt>
                <c:pt idx="10">
                  <c:v>1100000</c:v>
                </c:pt>
                <c:pt idx="11">
                  <c:v>695400</c:v>
                </c:pt>
                <c:pt idx="12">
                  <c:v>1900000</c:v>
                </c:pt>
                <c:pt idx="13">
                  <c:v>3700000</c:v>
                </c:pt>
                <c:pt idx="14">
                  <c:v>147300</c:v>
                </c:pt>
                <c:pt idx="15">
                  <c:v>3700000</c:v>
                </c:pt>
                <c:pt idx="16">
                  <c:v>3700000</c:v>
                </c:pt>
                <c:pt idx="17">
                  <c:v>1100000</c:v>
                </c:pt>
                <c:pt idx="18">
                  <c:v>1400000</c:v>
                </c:pt>
                <c:pt idx="19">
                  <c:v>1100000</c:v>
                </c:pt>
                <c:pt idx="20">
                  <c:v>3600000</c:v>
                </c:pt>
                <c:pt idx="21">
                  <c:v>8500000</c:v>
                </c:pt>
                <c:pt idx="22">
                  <c:v>2100000</c:v>
                </c:pt>
                <c:pt idx="23">
                  <c:v>3100000</c:v>
                </c:pt>
                <c:pt idx="24">
                  <c:v>231300</c:v>
                </c:pt>
                <c:pt idx="25">
                  <c:v>513100</c:v>
                </c:pt>
                <c:pt idx="26">
                  <c:v>969700</c:v>
                </c:pt>
                <c:pt idx="27">
                  <c:v>4099999.9999999995</c:v>
                </c:pt>
                <c:pt idx="28">
                  <c:v>65099.999999999993</c:v>
                </c:pt>
                <c:pt idx="29">
                  <c:v>1900000</c:v>
                </c:pt>
                <c:pt idx="30">
                  <c:v>790200</c:v>
                </c:pt>
                <c:pt idx="31">
                  <c:v>1700000</c:v>
                </c:pt>
                <c:pt idx="32">
                  <c:v>4200000</c:v>
                </c:pt>
                <c:pt idx="33">
                  <c:v>463200</c:v>
                </c:pt>
                <c:pt idx="34">
                  <c:v>2800000</c:v>
                </c:pt>
                <c:pt idx="35">
                  <c:v>623100</c:v>
                </c:pt>
                <c:pt idx="36">
                  <c:v>2200000</c:v>
                </c:pt>
                <c:pt idx="37">
                  <c:v>8700000</c:v>
                </c:pt>
                <c:pt idx="38">
                  <c:v>815800</c:v>
                </c:pt>
                <c:pt idx="39">
                  <c:v>652500</c:v>
                </c:pt>
                <c:pt idx="40">
                  <c:v>2000000</c:v>
                </c:pt>
                <c:pt idx="41">
                  <c:v>1500000</c:v>
                </c:pt>
                <c:pt idx="42">
                  <c:v>1200000</c:v>
                </c:pt>
                <c:pt idx="43">
                  <c:v>1100000</c:v>
                </c:pt>
                <c:pt idx="44">
                  <c:v>1600000</c:v>
                </c:pt>
                <c:pt idx="45">
                  <c:v>88800</c:v>
                </c:pt>
                <c:pt idx="46">
                  <c:v>1600000</c:v>
                </c:pt>
                <c:pt idx="47">
                  <c:v>185200</c:v>
                </c:pt>
                <c:pt idx="48">
                  <c:v>1600000</c:v>
                </c:pt>
                <c:pt idx="49">
                  <c:v>2100000</c:v>
                </c:pt>
                <c:pt idx="50">
                  <c:v>1100000</c:v>
                </c:pt>
                <c:pt idx="51">
                  <c:v>1900000</c:v>
                </c:pt>
                <c:pt idx="52">
                  <c:v>1200000</c:v>
                </c:pt>
                <c:pt idx="53">
                  <c:v>1400000</c:v>
                </c:pt>
                <c:pt idx="54">
                  <c:v>763000</c:v>
                </c:pt>
                <c:pt idx="55">
                  <c:v>2200000</c:v>
                </c:pt>
                <c:pt idx="56">
                  <c:v>2500000</c:v>
                </c:pt>
                <c:pt idx="57">
                  <c:v>150500</c:v>
                </c:pt>
                <c:pt idx="58">
                  <c:v>115100</c:v>
                </c:pt>
                <c:pt idx="59">
                  <c:v>475100</c:v>
                </c:pt>
                <c:pt idx="60">
                  <c:v>2000000</c:v>
                </c:pt>
                <c:pt idx="61">
                  <c:v>4700000</c:v>
                </c:pt>
                <c:pt idx="62">
                  <c:v>88400</c:v>
                </c:pt>
                <c:pt idx="63">
                  <c:v>1600000</c:v>
                </c:pt>
                <c:pt idx="64">
                  <c:v>186400</c:v>
                </c:pt>
                <c:pt idx="65">
                  <c:v>623800</c:v>
                </c:pt>
                <c:pt idx="66">
                  <c:v>3100000</c:v>
                </c:pt>
                <c:pt idx="67">
                  <c:v>1500000</c:v>
                </c:pt>
                <c:pt idx="68">
                  <c:v>226400</c:v>
                </c:pt>
                <c:pt idx="69">
                  <c:v>14200000</c:v>
                </c:pt>
                <c:pt idx="70">
                  <c:v>1100000</c:v>
                </c:pt>
                <c:pt idx="71">
                  <c:v>1400000</c:v>
                </c:pt>
                <c:pt idx="72">
                  <c:v>1300000</c:v>
                </c:pt>
                <c:pt idx="73">
                  <c:v>878000</c:v>
                </c:pt>
                <c:pt idx="74">
                  <c:v>5100000</c:v>
                </c:pt>
                <c:pt idx="75">
                  <c:v>4600000</c:v>
                </c:pt>
                <c:pt idx="76">
                  <c:v>1700000</c:v>
                </c:pt>
                <c:pt idx="77">
                  <c:v>452600</c:v>
                </c:pt>
                <c:pt idx="78">
                  <c:v>1900000</c:v>
                </c:pt>
                <c:pt idx="79">
                  <c:v>600400</c:v>
                </c:pt>
                <c:pt idx="80">
                  <c:v>194800</c:v>
                </c:pt>
                <c:pt idx="81">
                  <c:v>2500000</c:v>
                </c:pt>
                <c:pt idx="82">
                  <c:v>736400</c:v>
                </c:pt>
                <c:pt idx="83">
                  <c:v>878500</c:v>
                </c:pt>
                <c:pt idx="84">
                  <c:v>3100000</c:v>
                </c:pt>
                <c:pt idx="85">
                  <c:v>1700000</c:v>
                </c:pt>
                <c:pt idx="86">
                  <c:v>715000</c:v>
                </c:pt>
                <c:pt idx="87">
                  <c:v>5500000</c:v>
                </c:pt>
                <c:pt idx="88">
                  <c:v>522000</c:v>
                </c:pt>
                <c:pt idx="89">
                  <c:v>685100</c:v>
                </c:pt>
                <c:pt idx="90">
                  <c:v>2400000</c:v>
                </c:pt>
                <c:pt idx="91">
                  <c:v>2600000</c:v>
                </c:pt>
                <c:pt idx="92">
                  <c:v>3500000</c:v>
                </c:pt>
                <c:pt idx="93">
                  <c:v>2100000</c:v>
                </c:pt>
                <c:pt idx="94">
                  <c:v>1800000</c:v>
                </c:pt>
                <c:pt idx="95">
                  <c:v>356800</c:v>
                </c:pt>
                <c:pt idx="96">
                  <c:v>897200</c:v>
                </c:pt>
                <c:pt idx="97">
                  <c:v>8300000.0000000009</c:v>
                </c:pt>
                <c:pt idx="98">
                  <c:v>1400000</c:v>
                </c:pt>
                <c:pt idx="99">
                  <c:v>5800000</c:v>
                </c:pt>
                <c:pt idx="100">
                  <c:v>579600</c:v>
                </c:pt>
                <c:pt idx="101">
                  <c:v>172800</c:v>
                </c:pt>
                <c:pt idx="102">
                  <c:v>2400000</c:v>
                </c:pt>
                <c:pt idx="103">
                  <c:v>6800000</c:v>
                </c:pt>
                <c:pt idx="104">
                  <c:v>395500</c:v>
                </c:pt>
                <c:pt idx="105">
                  <c:v>346700</c:v>
                </c:pt>
                <c:pt idx="106">
                  <c:v>127500</c:v>
                </c:pt>
                <c:pt idx="107">
                  <c:v>193300</c:v>
                </c:pt>
                <c:pt idx="108">
                  <c:v>801800</c:v>
                </c:pt>
                <c:pt idx="109">
                  <c:v>145400</c:v>
                </c:pt>
                <c:pt idx="110">
                  <c:v>4099999.9999999995</c:v>
                </c:pt>
                <c:pt idx="111">
                  <c:v>553000</c:v>
                </c:pt>
                <c:pt idx="112">
                  <c:v>1200000</c:v>
                </c:pt>
                <c:pt idx="113">
                  <c:v>381800</c:v>
                </c:pt>
                <c:pt idx="114">
                  <c:v>690900</c:v>
                </c:pt>
                <c:pt idx="115">
                  <c:v>1000000</c:v>
                </c:pt>
                <c:pt idx="116">
                  <c:v>586400</c:v>
                </c:pt>
                <c:pt idx="117">
                  <c:v>332300</c:v>
                </c:pt>
                <c:pt idx="118">
                  <c:v>594200</c:v>
                </c:pt>
                <c:pt idx="119">
                  <c:v>197900</c:v>
                </c:pt>
                <c:pt idx="120">
                  <c:v>700500</c:v>
                </c:pt>
                <c:pt idx="121">
                  <c:v>1300000</c:v>
                </c:pt>
                <c:pt idx="122">
                  <c:v>4000000</c:v>
                </c:pt>
                <c:pt idx="123">
                  <c:v>1800000</c:v>
                </c:pt>
                <c:pt idx="124">
                  <c:v>390400</c:v>
                </c:pt>
                <c:pt idx="125">
                  <c:v>2900000</c:v>
                </c:pt>
                <c:pt idx="126">
                  <c:v>1200000</c:v>
                </c:pt>
                <c:pt idx="127">
                  <c:v>486500</c:v>
                </c:pt>
                <c:pt idx="128">
                  <c:v>302200</c:v>
                </c:pt>
                <c:pt idx="129">
                  <c:v>189900</c:v>
                </c:pt>
                <c:pt idx="130">
                  <c:v>518100</c:v>
                </c:pt>
                <c:pt idx="131">
                  <c:v>370800</c:v>
                </c:pt>
                <c:pt idx="132">
                  <c:v>1500000</c:v>
                </c:pt>
                <c:pt idx="133">
                  <c:v>2700000</c:v>
                </c:pt>
                <c:pt idx="134">
                  <c:v>2100000</c:v>
                </c:pt>
                <c:pt idx="135">
                  <c:v>719600</c:v>
                </c:pt>
                <c:pt idx="136">
                  <c:v>381600</c:v>
                </c:pt>
                <c:pt idx="137">
                  <c:v>329000</c:v>
                </c:pt>
                <c:pt idx="138">
                  <c:v>431200</c:v>
                </c:pt>
                <c:pt idx="139">
                  <c:v>1400000</c:v>
                </c:pt>
                <c:pt idx="140">
                  <c:v>728200</c:v>
                </c:pt>
                <c:pt idx="141">
                  <c:v>367800</c:v>
                </c:pt>
                <c:pt idx="142">
                  <c:v>505700</c:v>
                </c:pt>
                <c:pt idx="143">
                  <c:v>1800000</c:v>
                </c:pt>
                <c:pt idx="144">
                  <c:v>1400000</c:v>
                </c:pt>
                <c:pt idx="145">
                  <c:v>813500</c:v>
                </c:pt>
                <c:pt idx="146">
                  <c:v>372400</c:v>
                </c:pt>
                <c:pt idx="147">
                  <c:v>118300</c:v>
                </c:pt>
                <c:pt idx="148">
                  <c:v>1600000</c:v>
                </c:pt>
                <c:pt idx="149">
                  <c:v>500500</c:v>
                </c:pt>
                <c:pt idx="150">
                  <c:v>386900</c:v>
                </c:pt>
                <c:pt idx="151">
                  <c:v>232200</c:v>
                </c:pt>
                <c:pt idx="152">
                  <c:v>1000000</c:v>
                </c:pt>
                <c:pt idx="153">
                  <c:v>996200</c:v>
                </c:pt>
                <c:pt idx="154">
                  <c:v>10900000</c:v>
                </c:pt>
                <c:pt idx="155">
                  <c:v>3000000</c:v>
                </c:pt>
                <c:pt idx="156">
                  <c:v>872900</c:v>
                </c:pt>
                <c:pt idx="157">
                  <c:v>4600000</c:v>
                </c:pt>
                <c:pt idx="158">
                  <c:v>139300</c:v>
                </c:pt>
                <c:pt idx="159">
                  <c:v>800400</c:v>
                </c:pt>
                <c:pt idx="160">
                  <c:v>6200000</c:v>
                </c:pt>
                <c:pt idx="161">
                  <c:v>1100000</c:v>
                </c:pt>
                <c:pt idx="162">
                  <c:v>1300000</c:v>
                </c:pt>
                <c:pt idx="163">
                  <c:v>975100</c:v>
                </c:pt>
                <c:pt idx="164">
                  <c:v>3500000</c:v>
                </c:pt>
                <c:pt idx="165">
                  <c:v>732400</c:v>
                </c:pt>
                <c:pt idx="166">
                  <c:v>1600000</c:v>
                </c:pt>
                <c:pt idx="167">
                  <c:v>420000</c:v>
                </c:pt>
                <c:pt idx="168">
                  <c:v>203700</c:v>
                </c:pt>
                <c:pt idx="169">
                  <c:v>264700</c:v>
                </c:pt>
                <c:pt idx="170">
                  <c:v>4500000</c:v>
                </c:pt>
                <c:pt idx="171">
                  <c:v>1100000</c:v>
                </c:pt>
                <c:pt idx="172">
                  <c:v>764000</c:v>
                </c:pt>
                <c:pt idx="173">
                  <c:v>959800</c:v>
                </c:pt>
                <c:pt idx="174">
                  <c:v>2400000</c:v>
                </c:pt>
                <c:pt idx="175">
                  <c:v>715500</c:v>
                </c:pt>
                <c:pt idx="176">
                  <c:v>420500</c:v>
                </c:pt>
                <c:pt idx="177">
                  <c:v>1100000</c:v>
                </c:pt>
                <c:pt idx="178">
                  <c:v>1900000</c:v>
                </c:pt>
                <c:pt idx="179">
                  <c:v>1100000</c:v>
                </c:pt>
                <c:pt idx="180">
                  <c:v>15400000</c:v>
                </c:pt>
                <c:pt idx="181">
                  <c:v>1100000</c:v>
                </c:pt>
                <c:pt idx="182">
                  <c:v>5400000</c:v>
                </c:pt>
                <c:pt idx="183">
                  <c:v>597200</c:v>
                </c:pt>
                <c:pt idx="184">
                  <c:v>3000000</c:v>
                </c:pt>
                <c:pt idx="185">
                  <c:v>1400000</c:v>
                </c:pt>
                <c:pt idx="186">
                  <c:v>633900</c:v>
                </c:pt>
                <c:pt idx="187">
                  <c:v>1100000</c:v>
                </c:pt>
                <c:pt idx="188">
                  <c:v>147000</c:v>
                </c:pt>
                <c:pt idx="189">
                  <c:v>1400000</c:v>
                </c:pt>
                <c:pt idx="190">
                  <c:v>3500000</c:v>
                </c:pt>
                <c:pt idx="191">
                  <c:v>256100.00000000003</c:v>
                </c:pt>
                <c:pt idx="192">
                  <c:v>1600000</c:v>
                </c:pt>
                <c:pt idx="193">
                  <c:v>1400000</c:v>
                </c:pt>
                <c:pt idx="194">
                  <c:v>398700</c:v>
                </c:pt>
                <c:pt idx="195">
                  <c:v>157400</c:v>
                </c:pt>
                <c:pt idx="196">
                  <c:v>2300000</c:v>
                </c:pt>
                <c:pt idx="197">
                  <c:v>4700000</c:v>
                </c:pt>
                <c:pt idx="198">
                  <c:v>5800000</c:v>
                </c:pt>
                <c:pt idx="199">
                  <c:v>1100000</c:v>
                </c:pt>
              </c:numCache>
            </c:numRef>
          </c:val>
          <c:extLst>
            <c:ext xmlns:c16="http://schemas.microsoft.com/office/drawing/2014/chart" uri="{C3380CC4-5D6E-409C-BE32-E72D297353CC}">
              <c16:uniqueId val="{00000000-8349-4763-9CC0-957C42230197}"/>
            </c:ext>
          </c:extLst>
        </c:ser>
        <c:ser>
          <c:idx val="1"/>
          <c:order val="1"/>
          <c:tx>
            <c:strRef>
              <c:f>'Average Likes vs Followers'!$C$3</c:f>
              <c:strCache>
                <c:ptCount val="1"/>
                <c:pt idx="0">
                  <c:v>Sum of Followers Numeric</c:v>
                </c:pt>
              </c:strCache>
            </c:strRef>
          </c:tx>
          <c:spPr>
            <a:solidFill>
              <a:schemeClr val="accent2"/>
            </a:solidFill>
            <a:ln>
              <a:noFill/>
            </a:ln>
            <a:effectLst/>
          </c:spPr>
          <c:invertIfNegative val="0"/>
          <c:cat>
            <c:strRef>
              <c:f>'Average Likes vs Followers'!$A$4:$A$204</c:f>
              <c:strCache>
                <c:ptCount val="200"/>
                <c:pt idx="0">
                  <c:v>433</c:v>
                </c:pt>
                <c:pt idx="1">
                  <c:v>5-Minute Crafts GIRLY</c:v>
                </c:pt>
                <c:pt idx="2">
                  <c:v>9gag</c:v>
                </c:pt>
                <c:pt idx="3">
                  <c:v>addisonraee</c:v>
                </c:pt>
                <c:pt idx="4">
                  <c:v>adele</c:v>
                </c:pt>
                <c:pt idx="5">
                  <c:v>adidasoriginals</c:v>
                </c:pt>
                <c:pt idx="6">
                  <c:v>akshaykumar</c:v>
                </c:pt>
                <c:pt idx="7">
                  <c:v>aliaabhatt</c:v>
                </c:pt>
                <c:pt idx="8">
                  <c:v>andresiniesta8</c:v>
                </c:pt>
                <c:pt idx="9">
                  <c:v>anitta</c:v>
                </c:pt>
                <c:pt idx="10">
                  <c:v>antogriezmann</c:v>
                </c:pt>
                <c:pt idx="11">
                  <c:v>anushkasen0408</c:v>
                </c:pt>
                <c:pt idx="12">
                  <c:v>anushkasharma</c:v>
                </c:pt>
                <c:pt idx="13">
                  <c:v>arianagrande</c:v>
                </c:pt>
                <c:pt idx="14">
                  <c:v>ayutingting92</c:v>
                </c:pt>
                <c:pt idx="15">
                  <c:v>badbunnypr</c:v>
                </c:pt>
                <c:pt idx="16">
                  <c:v>badgalriri</c:v>
                </c:pt>
                <c:pt idx="17">
                  <c:v>barackobama</c:v>
                </c:pt>
                <c:pt idx="18">
                  <c:v>beingsalmankhan</c:v>
                </c:pt>
                <c:pt idx="19">
                  <c:v>bellahadid</c:v>
                </c:pt>
                <c:pt idx="20">
                  <c:v>beyonce</c:v>
                </c:pt>
                <c:pt idx="21">
                  <c:v>billieeilish</c:v>
                </c:pt>
                <c:pt idx="22">
                  <c:v>blackpinkofficial</c:v>
                </c:pt>
                <c:pt idx="23">
                  <c:v>blakelively</c:v>
                </c:pt>
                <c:pt idx="24">
                  <c:v>bmw</c:v>
                </c:pt>
                <c:pt idx="25">
                  <c:v>britneyspears</c:v>
                </c:pt>
                <c:pt idx="26">
                  <c:v>brunamarquezine</c:v>
                </c:pt>
                <c:pt idx="27">
                  <c:v>bts.bighitofficial</c:v>
                </c:pt>
                <c:pt idx="28">
                  <c:v>buzzfeedtasty</c:v>
                </c:pt>
                <c:pt idx="29">
                  <c:v>camila_cabello</c:v>
                </c:pt>
                <c:pt idx="30">
                  <c:v>caradelevingne</c:v>
                </c:pt>
                <c:pt idx="31">
                  <c:v>champagnepapi</c:v>
                </c:pt>
                <c:pt idx="32">
                  <c:v>charlidamelio</c:v>
                </c:pt>
                <c:pt idx="33">
                  <c:v>chrisbrownofficial</c:v>
                </c:pt>
                <c:pt idx="34">
                  <c:v>chrishemsworth</c:v>
                </c:pt>
                <c:pt idx="35">
                  <c:v>chrissyteigen</c:v>
                </c:pt>
                <c:pt idx="36">
                  <c:v>colesprouse</c:v>
                </c:pt>
                <c:pt idx="37">
                  <c:v>cristiano</c:v>
                </c:pt>
                <c:pt idx="38">
                  <c:v>cznburak</c:v>
                </c:pt>
                <c:pt idx="39">
                  <c:v>daddyyankee</c:v>
                </c:pt>
                <c:pt idx="40">
                  <c:v>danbilzerian</c:v>
                </c:pt>
                <c:pt idx="41">
                  <c:v>dannapaola</c:v>
                </c:pt>
                <c:pt idx="42">
                  <c:v>davidbeckham</c:v>
                </c:pt>
                <c:pt idx="43">
                  <c:v>ddlovato</c:v>
                </c:pt>
                <c:pt idx="44">
                  <c:v>deepikapadukone</c:v>
                </c:pt>
                <c:pt idx="45">
                  <c:v>dior</c:v>
                </c:pt>
                <c:pt idx="46">
                  <c:v>dishapatani</c:v>
                </c:pt>
                <c:pt idx="47">
                  <c:v>disney</c:v>
                </c:pt>
                <c:pt idx="48">
                  <c:v>dovecameron</c:v>
                </c:pt>
                <c:pt idx="49">
                  <c:v>dualipa</c:v>
                </c:pt>
                <c:pt idx="50">
                  <c:v>eminem</c:v>
                </c:pt>
                <c:pt idx="51">
                  <c:v>emmawatson</c:v>
                </c:pt>
                <c:pt idx="52">
                  <c:v>fcbarcelona</c:v>
                </c:pt>
                <c:pt idx="53">
                  <c:v>gal_gadot</c:v>
                </c:pt>
                <c:pt idx="54">
                  <c:v>garethbale11</c:v>
                </c:pt>
                <c:pt idx="55">
                  <c:v>georginagio</c:v>
                </c:pt>
                <c:pt idx="56">
                  <c:v>gigihadid</c:v>
                </c:pt>
                <c:pt idx="57">
                  <c:v>gisel_la</c:v>
                </c:pt>
                <c:pt idx="58">
                  <c:v>gucci</c:v>
                </c:pt>
                <c:pt idx="59">
                  <c:v>gusttavolima</c:v>
                </c:pt>
                <c:pt idx="60">
                  <c:v>haileybieber</c:v>
                </c:pt>
                <c:pt idx="61">
                  <c:v>harrystyles</c:v>
                </c:pt>
                <c:pt idx="62">
                  <c:v>hm</c:v>
                </c:pt>
                <c:pt idx="63">
                  <c:v>hrithikroshan</c:v>
                </c:pt>
                <c:pt idx="64">
                  <c:v>hudabeauty</c:v>
                </c:pt>
                <c:pt idx="65">
                  <c:v>iambeckyg</c:v>
                </c:pt>
                <c:pt idx="66">
                  <c:v>iamcardib</c:v>
                </c:pt>
                <c:pt idx="67">
                  <c:v>iamzlatanibrahimovic</c:v>
                </c:pt>
                <c:pt idx="68">
                  <c:v>ivetesangalo</c:v>
                </c:pt>
                <c:pt idx="69">
                  <c:v>j.m</c:v>
                </c:pt>
                <c:pt idx="70">
                  <c:v>jacquelinef143</c:v>
                </c:pt>
                <c:pt idx="71">
                  <c:v>jamesrodriguez10</c:v>
                </c:pt>
                <c:pt idx="72">
                  <c:v>jannatzubair29</c:v>
                </c:pt>
                <c:pt idx="73">
                  <c:v>jbalvin</c:v>
                </c:pt>
                <c:pt idx="74">
                  <c:v>jennierubyjane</c:v>
                </c:pt>
                <c:pt idx="75">
                  <c:v>jenniferaniston</c:v>
                </c:pt>
                <c:pt idx="76">
                  <c:v>jlo</c:v>
                </c:pt>
                <c:pt idx="77">
                  <c:v>jokowi</c:v>
                </c:pt>
                <c:pt idx="78">
                  <c:v>justinbieber</c:v>
                </c:pt>
                <c:pt idx="79">
                  <c:v>justintimberlake</c:v>
                </c:pt>
                <c:pt idx="80">
                  <c:v>juventus</c:v>
                </c:pt>
                <c:pt idx="81">
                  <c:v>k.mbappe</c:v>
                </c:pt>
                <c:pt idx="82">
                  <c:v>kapilsharma</c:v>
                </c:pt>
                <c:pt idx="83">
                  <c:v>karimbenzema</c:v>
                </c:pt>
                <c:pt idx="84">
                  <c:v>karolg</c:v>
                </c:pt>
                <c:pt idx="85">
                  <c:v>katrinakaif</c:v>
                </c:pt>
                <c:pt idx="86">
                  <c:v>katyperry</c:v>
                </c:pt>
                <c:pt idx="87">
                  <c:v>kendalljenner</c:v>
                </c:pt>
                <c:pt idx="88">
                  <c:v>kevinhart4real</c:v>
                </c:pt>
                <c:pt idx="89">
                  <c:v>khabib_nurmagomedov</c:v>
                </c:pt>
                <c:pt idx="90">
                  <c:v>khloekardashian</c:v>
                </c:pt>
                <c:pt idx="91">
                  <c:v>kimberly.loaiza</c:v>
                </c:pt>
                <c:pt idx="92">
                  <c:v>kimkardashian</c:v>
                </c:pt>
                <c:pt idx="93">
                  <c:v>kingjames</c:v>
                </c:pt>
                <c:pt idx="94">
                  <c:v>kourtneykardash</c:v>
                </c:pt>
                <c:pt idx="95">
                  <c:v>krisjenner</c:v>
                </c:pt>
                <c:pt idx="96">
                  <c:v>kritisanon</c:v>
                </c:pt>
                <c:pt idx="97">
                  <c:v>kyliejenner</c:v>
                </c:pt>
                <c:pt idx="98">
                  <c:v>ladygaga</c:v>
                </c:pt>
                <c:pt idx="99">
                  <c:v>lalalalisa_m</c:v>
                </c:pt>
                <c:pt idx="100">
                  <c:v>larissamanoela</c:v>
                </c:pt>
                <c:pt idx="101">
                  <c:v>laudyacynthiabella</c:v>
                </c:pt>
                <c:pt idx="102">
                  <c:v>lelepons</c:v>
                </c:pt>
                <c:pt idx="103">
                  <c:v>leomessi</c:v>
                </c:pt>
                <c:pt idx="104">
                  <c:v>leonardodicaprio</c:v>
                </c:pt>
                <c:pt idx="105">
                  <c:v>liverpoolfc</c:v>
                </c:pt>
                <c:pt idx="106">
                  <c:v>louisvuitton</c:v>
                </c:pt>
                <c:pt idx="107">
                  <c:v>luansantana</c:v>
                </c:pt>
                <c:pt idx="108">
                  <c:v>luissuarez9</c:v>
                </c:pt>
                <c:pt idx="109">
                  <c:v>lunamaya</c:v>
                </c:pt>
                <c:pt idx="110">
                  <c:v>mahi7781</c:v>
                </c:pt>
                <c:pt idx="111">
                  <c:v>maisa</c:v>
                </c:pt>
                <c:pt idx="112">
                  <c:v>maluma</c:v>
                </c:pt>
                <c:pt idx="113">
                  <c:v>manchesterunited</c:v>
                </c:pt>
                <c:pt idx="114">
                  <c:v>marcelotwelve</c:v>
                </c:pt>
                <c:pt idx="115">
                  <c:v>mariliamendoncacantora</c:v>
                </c:pt>
                <c:pt idx="116">
                  <c:v>marinaruybarbosa</c:v>
                </c:pt>
                <c:pt idx="117">
                  <c:v>marvel</c:v>
                </c:pt>
                <c:pt idx="118">
                  <c:v>marvelstudios</c:v>
                </c:pt>
                <c:pt idx="119">
                  <c:v>mercedesbenz</c:v>
                </c:pt>
                <c:pt idx="120">
                  <c:v>michelleobama</c:v>
                </c:pt>
                <c:pt idx="121">
                  <c:v>mileycyrus</c:v>
                </c:pt>
                <c:pt idx="122">
                  <c:v>milliebobbybrown</c:v>
                </c:pt>
                <c:pt idx="123">
                  <c:v>mosalah</c:v>
                </c:pt>
                <c:pt idx="124">
                  <c:v>nancyajram</c:v>
                </c:pt>
                <c:pt idx="125">
                  <c:v>narendramodi</c:v>
                </c:pt>
                <c:pt idx="126">
                  <c:v>nasa</c:v>
                </c:pt>
                <c:pt idx="127">
                  <c:v>natashawilona12</c:v>
                </c:pt>
                <c:pt idx="128">
                  <c:v>natgeo</c:v>
                </c:pt>
                <c:pt idx="129">
                  <c:v>natgeotravel</c:v>
                </c:pt>
                <c:pt idx="130">
                  <c:v>nattinatasha</c:v>
                </c:pt>
                <c:pt idx="131">
                  <c:v>nba</c:v>
                </c:pt>
                <c:pt idx="132">
                  <c:v>nehakakkar</c:v>
                </c:pt>
                <c:pt idx="133">
                  <c:v>neymarjr</c:v>
                </c:pt>
                <c:pt idx="134">
                  <c:v>nickiminaj</c:v>
                </c:pt>
                <c:pt idx="135">
                  <c:v>nickjonas</c:v>
                </c:pt>
                <c:pt idx="136">
                  <c:v>nickyjampr</c:v>
                </c:pt>
                <c:pt idx="137">
                  <c:v>nike</c:v>
                </c:pt>
                <c:pt idx="138">
                  <c:v>nikefootball</c:v>
                </c:pt>
                <c:pt idx="139">
                  <c:v>norafatehi</c:v>
                </c:pt>
                <c:pt idx="140">
                  <c:v>nusr_et</c:v>
                </c:pt>
                <c:pt idx="141">
                  <c:v>paollaoliveirareal</c:v>
                </c:pt>
                <c:pt idx="142">
                  <c:v>parineetichopra</c:v>
                </c:pt>
                <c:pt idx="143">
                  <c:v>paulodybala</c:v>
                </c:pt>
                <c:pt idx="144">
                  <c:v>paulpogba</c:v>
                </c:pt>
                <c:pt idx="145">
                  <c:v>prattprattpratt</c:v>
                </c:pt>
                <c:pt idx="146">
                  <c:v>prillylatuconsina96</c:v>
                </c:pt>
                <c:pt idx="147">
                  <c:v>princessyahrini</c:v>
                </c:pt>
                <c:pt idx="148">
                  <c:v>priyankachopra</c:v>
                </c:pt>
                <c:pt idx="149">
                  <c:v>psg</c:v>
                </c:pt>
                <c:pt idx="150">
                  <c:v>raffinagita1717</c:v>
                </c:pt>
                <c:pt idx="151">
                  <c:v>raisa6690</c:v>
                </c:pt>
                <c:pt idx="152">
                  <c:v>ranveersingh</c:v>
                </c:pt>
                <c:pt idx="153">
                  <c:v>realmadrid</c:v>
                </c:pt>
                <c:pt idx="154">
                  <c:v>rkive</c:v>
                </c:pt>
                <c:pt idx="155">
                  <c:v>robertdowneyjr</c:v>
                </c:pt>
                <c:pt idx="156">
                  <c:v>ronaldinho</c:v>
                </c:pt>
                <c:pt idx="157">
                  <c:v>roses_are_rosie</c:v>
                </c:pt>
                <c:pt idx="158">
                  <c:v>ruben_onsu</c:v>
                </c:pt>
                <c:pt idx="159">
                  <c:v>sachintendulkar</c:v>
                </c:pt>
                <c:pt idx="160">
                  <c:v>selenagomez</c:v>
                </c:pt>
                <c:pt idx="161">
                  <c:v>sergioramos</c:v>
                </c:pt>
                <c:pt idx="162">
                  <c:v>shahidkapoor</c:v>
                </c:pt>
                <c:pt idx="163">
                  <c:v>Shakira</c:v>
                </c:pt>
                <c:pt idx="164">
                  <c:v>shawnmendes</c:v>
                </c:pt>
                <c:pt idx="165">
                  <c:v>shaymitchell</c:v>
                </c:pt>
                <c:pt idx="166">
                  <c:v>shraddhakapoor</c:v>
                </c:pt>
                <c:pt idx="167">
                  <c:v>simonemendes</c:v>
                </c:pt>
                <c:pt idx="168">
                  <c:v>snoopdogg</c:v>
                </c:pt>
                <c:pt idx="169">
                  <c:v>sonamkapoor</c:v>
                </c:pt>
                <c:pt idx="170">
                  <c:v>sooyaaa__</c:v>
                </c:pt>
                <c:pt idx="171">
                  <c:v>stephencurry30</c:v>
                </c:pt>
                <c:pt idx="172">
                  <c:v>sunnyleone</c:v>
                </c:pt>
                <c:pt idx="173">
                  <c:v>tatawerneck</c:v>
                </c:pt>
                <c:pt idx="174">
                  <c:v>taylorswift</c:v>
                </c:pt>
                <c:pt idx="175">
                  <c:v>teddysphotos</c:v>
                </c:pt>
                <c:pt idx="176">
                  <c:v>theellenshow</c:v>
                </c:pt>
                <c:pt idx="177">
                  <c:v>thenotoriousmma</c:v>
                </c:pt>
                <c:pt idx="178">
                  <c:v>therock</c:v>
                </c:pt>
                <c:pt idx="179">
                  <c:v>theweeknd</c:v>
                </c:pt>
                <c:pt idx="180">
                  <c:v>thv</c:v>
                </c:pt>
                <c:pt idx="181">
                  <c:v>tigerjackieshroff</c:v>
                </c:pt>
                <c:pt idx="182">
                  <c:v>tomholland2013</c:v>
                </c:pt>
                <c:pt idx="183">
                  <c:v>toni.kr8s</c:v>
                </c:pt>
                <c:pt idx="184">
                  <c:v>travisscott</c:v>
                </c:pt>
                <c:pt idx="185">
                  <c:v>vancityreynolds</c:v>
                </c:pt>
                <c:pt idx="186">
                  <c:v>vanessahudgens</c:v>
                </c:pt>
                <c:pt idx="187">
                  <c:v>varundvn</c:v>
                </c:pt>
                <c:pt idx="188">
                  <c:v>victoriassecret</c:v>
                </c:pt>
                <c:pt idx="189">
                  <c:v>vindiesel</c:v>
                </c:pt>
                <c:pt idx="190">
                  <c:v>virat.kohli</c:v>
                </c:pt>
                <c:pt idx="191">
                  <c:v>wesleysafadao</c:v>
                </c:pt>
                <c:pt idx="192">
                  <c:v>whinderssonnunes</c:v>
                </c:pt>
                <c:pt idx="193">
                  <c:v>willsmith</c:v>
                </c:pt>
                <c:pt idx="194">
                  <c:v>wizkhalifa</c:v>
                </c:pt>
                <c:pt idx="195">
                  <c:v>worldstar</c:v>
                </c:pt>
                <c:pt idx="196">
                  <c:v>zacefron</c:v>
                </c:pt>
                <c:pt idx="197">
                  <c:v>zayn</c:v>
                </c:pt>
                <c:pt idx="198">
                  <c:v>zendaya</c:v>
                </c:pt>
                <c:pt idx="199">
                  <c:v>zidane</c:v>
                </c:pt>
              </c:strCache>
            </c:strRef>
          </c:cat>
          <c:val>
            <c:numRef>
              <c:f>'Average Likes vs Followers'!$C$4:$C$204</c:f>
              <c:numCache>
                <c:formatCode>#,##0.00</c:formatCode>
                <c:ptCount val="200"/>
                <c:pt idx="0">
                  <c:v>51200000</c:v>
                </c:pt>
                <c:pt idx="1">
                  <c:v>46500000</c:v>
                </c:pt>
                <c:pt idx="2">
                  <c:v>58100000</c:v>
                </c:pt>
                <c:pt idx="3">
                  <c:v>40100000</c:v>
                </c:pt>
                <c:pt idx="4">
                  <c:v>50700000</c:v>
                </c:pt>
                <c:pt idx="5">
                  <c:v>34200000</c:v>
                </c:pt>
                <c:pt idx="6">
                  <c:v>62800000</c:v>
                </c:pt>
                <c:pt idx="7">
                  <c:v>68700000</c:v>
                </c:pt>
                <c:pt idx="8">
                  <c:v>40000000</c:v>
                </c:pt>
                <c:pt idx="9">
                  <c:v>63100000</c:v>
                </c:pt>
                <c:pt idx="10">
                  <c:v>36500000</c:v>
                </c:pt>
                <c:pt idx="11">
                  <c:v>38300000</c:v>
                </c:pt>
                <c:pt idx="12">
                  <c:v>59500000</c:v>
                </c:pt>
                <c:pt idx="13">
                  <c:v>327700000</c:v>
                </c:pt>
                <c:pt idx="14">
                  <c:v>52400000</c:v>
                </c:pt>
                <c:pt idx="15">
                  <c:v>42100000</c:v>
                </c:pt>
                <c:pt idx="16">
                  <c:v>135300000</c:v>
                </c:pt>
                <c:pt idx="17">
                  <c:v>35400000</c:v>
                </c:pt>
                <c:pt idx="18">
                  <c:v>53500000</c:v>
                </c:pt>
                <c:pt idx="19">
                  <c:v>54100000</c:v>
                </c:pt>
                <c:pt idx="20">
                  <c:v>272800000</c:v>
                </c:pt>
                <c:pt idx="21">
                  <c:v>105200000</c:v>
                </c:pt>
                <c:pt idx="22">
                  <c:v>48200000</c:v>
                </c:pt>
                <c:pt idx="23">
                  <c:v>34600000</c:v>
                </c:pt>
                <c:pt idx="24">
                  <c:v>33700000</c:v>
                </c:pt>
                <c:pt idx="25">
                  <c:v>42100000</c:v>
                </c:pt>
                <c:pt idx="26">
                  <c:v>43100000</c:v>
                </c:pt>
                <c:pt idx="27">
                  <c:v>66900000.000000007</c:v>
                </c:pt>
                <c:pt idx="28">
                  <c:v>43200000</c:v>
                </c:pt>
                <c:pt idx="29">
                  <c:v>65000000</c:v>
                </c:pt>
                <c:pt idx="30">
                  <c:v>42900000</c:v>
                </c:pt>
                <c:pt idx="31">
                  <c:v>119600000</c:v>
                </c:pt>
                <c:pt idx="32">
                  <c:v>49100000</c:v>
                </c:pt>
                <c:pt idx="33">
                  <c:v>118500000</c:v>
                </c:pt>
                <c:pt idx="34">
                  <c:v>55900000</c:v>
                </c:pt>
                <c:pt idx="35">
                  <c:v>38900000</c:v>
                </c:pt>
                <c:pt idx="36">
                  <c:v>35900000</c:v>
                </c:pt>
                <c:pt idx="37">
                  <c:v>475800000</c:v>
                </c:pt>
                <c:pt idx="38">
                  <c:v>39000000</c:v>
                </c:pt>
                <c:pt idx="39">
                  <c:v>45900000</c:v>
                </c:pt>
                <c:pt idx="40">
                  <c:v>33600000</c:v>
                </c:pt>
                <c:pt idx="41">
                  <c:v>34700000</c:v>
                </c:pt>
                <c:pt idx="42">
                  <c:v>74900000</c:v>
                </c:pt>
                <c:pt idx="43">
                  <c:v>139100000</c:v>
                </c:pt>
                <c:pt idx="44">
                  <c:v>68400000</c:v>
                </c:pt>
                <c:pt idx="45">
                  <c:v>41500000</c:v>
                </c:pt>
                <c:pt idx="46">
                  <c:v>53000000</c:v>
                </c:pt>
                <c:pt idx="47">
                  <c:v>34200000</c:v>
                </c:pt>
                <c:pt idx="48">
                  <c:v>48200000</c:v>
                </c:pt>
                <c:pt idx="49">
                  <c:v>85900000</c:v>
                </c:pt>
                <c:pt idx="50">
                  <c:v>36400000</c:v>
                </c:pt>
                <c:pt idx="51">
                  <c:v>67300000</c:v>
                </c:pt>
                <c:pt idx="52">
                  <c:v>111400000</c:v>
                </c:pt>
                <c:pt idx="53">
                  <c:v>85600000</c:v>
                </c:pt>
                <c:pt idx="54">
                  <c:v>48100000</c:v>
                </c:pt>
                <c:pt idx="55">
                  <c:v>39100000</c:v>
                </c:pt>
                <c:pt idx="56">
                  <c:v>75300000</c:v>
                </c:pt>
                <c:pt idx="57">
                  <c:v>36500000</c:v>
                </c:pt>
                <c:pt idx="58">
                  <c:v>49000000</c:v>
                </c:pt>
                <c:pt idx="59">
                  <c:v>43900000</c:v>
                </c:pt>
                <c:pt idx="60">
                  <c:v>46900000</c:v>
                </c:pt>
                <c:pt idx="61">
                  <c:v>46900000</c:v>
                </c:pt>
                <c:pt idx="62">
                  <c:v>38500000</c:v>
                </c:pt>
                <c:pt idx="63">
                  <c:v>43700000</c:v>
                </c:pt>
                <c:pt idx="64">
                  <c:v>50800000</c:v>
                </c:pt>
                <c:pt idx="65">
                  <c:v>33200000.000000004</c:v>
                </c:pt>
                <c:pt idx="66">
                  <c:v>140500000</c:v>
                </c:pt>
                <c:pt idx="67">
                  <c:v>55100000</c:v>
                </c:pt>
                <c:pt idx="68">
                  <c:v>34800000</c:v>
                </c:pt>
                <c:pt idx="69">
                  <c:v>41900000</c:v>
                </c:pt>
                <c:pt idx="70">
                  <c:v>62700000</c:v>
                </c:pt>
                <c:pt idx="71">
                  <c:v>49900000</c:v>
                </c:pt>
                <c:pt idx="72">
                  <c:v>43800000</c:v>
                </c:pt>
                <c:pt idx="73">
                  <c:v>52800000</c:v>
                </c:pt>
                <c:pt idx="74">
                  <c:v>68900000</c:v>
                </c:pt>
                <c:pt idx="75">
                  <c:v>40700000</c:v>
                </c:pt>
                <c:pt idx="76">
                  <c:v>220400000</c:v>
                </c:pt>
                <c:pt idx="77">
                  <c:v>47700000</c:v>
                </c:pt>
                <c:pt idx="78">
                  <c:v>254500000</c:v>
                </c:pt>
                <c:pt idx="79">
                  <c:v>65900000.000000007</c:v>
                </c:pt>
                <c:pt idx="80">
                  <c:v>54500000</c:v>
                </c:pt>
                <c:pt idx="81">
                  <c:v>72700000</c:v>
                </c:pt>
                <c:pt idx="82">
                  <c:v>42200000</c:v>
                </c:pt>
                <c:pt idx="83">
                  <c:v>56900000</c:v>
                </c:pt>
                <c:pt idx="84">
                  <c:v>55600000</c:v>
                </c:pt>
                <c:pt idx="85">
                  <c:v>66300000</c:v>
                </c:pt>
                <c:pt idx="86">
                  <c:v>170300000</c:v>
                </c:pt>
                <c:pt idx="87">
                  <c:v>254000000</c:v>
                </c:pt>
                <c:pt idx="88">
                  <c:v>152000000</c:v>
                </c:pt>
                <c:pt idx="89">
                  <c:v>33500000</c:v>
                </c:pt>
                <c:pt idx="90">
                  <c:v>268300000</c:v>
                </c:pt>
                <c:pt idx="91">
                  <c:v>35500000</c:v>
                </c:pt>
                <c:pt idx="92">
                  <c:v>329200000</c:v>
                </c:pt>
                <c:pt idx="93">
                  <c:v>130900000</c:v>
                </c:pt>
                <c:pt idx="94">
                  <c:v>195200000</c:v>
                </c:pt>
                <c:pt idx="95">
                  <c:v>49700000</c:v>
                </c:pt>
                <c:pt idx="96">
                  <c:v>50200000</c:v>
                </c:pt>
                <c:pt idx="97">
                  <c:v>366200000</c:v>
                </c:pt>
                <c:pt idx="98">
                  <c:v>53200000</c:v>
                </c:pt>
                <c:pt idx="99">
                  <c:v>80900000</c:v>
                </c:pt>
                <c:pt idx="100">
                  <c:v>46500000</c:v>
                </c:pt>
                <c:pt idx="101">
                  <c:v>36900000</c:v>
                </c:pt>
                <c:pt idx="102">
                  <c:v>49200000</c:v>
                </c:pt>
                <c:pt idx="103">
                  <c:v>357300000</c:v>
                </c:pt>
                <c:pt idx="104">
                  <c:v>54600000</c:v>
                </c:pt>
                <c:pt idx="105">
                  <c:v>39900000</c:v>
                </c:pt>
                <c:pt idx="106">
                  <c:v>48700000</c:v>
                </c:pt>
                <c:pt idx="107">
                  <c:v>33200000.000000004</c:v>
                </c:pt>
                <c:pt idx="108">
                  <c:v>44200000</c:v>
                </c:pt>
                <c:pt idx="109">
                  <c:v>34800000</c:v>
                </c:pt>
                <c:pt idx="110">
                  <c:v>39100000</c:v>
                </c:pt>
                <c:pt idx="111">
                  <c:v>44500000</c:v>
                </c:pt>
                <c:pt idx="112">
                  <c:v>62800000</c:v>
                </c:pt>
                <c:pt idx="113">
                  <c:v>59600000</c:v>
                </c:pt>
                <c:pt idx="114">
                  <c:v>58100000</c:v>
                </c:pt>
                <c:pt idx="115">
                  <c:v>41800000</c:v>
                </c:pt>
                <c:pt idx="116">
                  <c:v>40700000</c:v>
                </c:pt>
                <c:pt idx="117">
                  <c:v>66200000</c:v>
                </c:pt>
                <c:pt idx="118">
                  <c:v>38100000</c:v>
                </c:pt>
                <c:pt idx="119">
                  <c:v>36000000</c:v>
                </c:pt>
                <c:pt idx="120">
                  <c:v>50700000</c:v>
                </c:pt>
                <c:pt idx="121">
                  <c:v>181500000</c:v>
                </c:pt>
                <c:pt idx="122">
                  <c:v>57600000</c:v>
                </c:pt>
                <c:pt idx="123">
                  <c:v>52500000</c:v>
                </c:pt>
                <c:pt idx="124">
                  <c:v>33200000.000000004</c:v>
                </c:pt>
                <c:pt idx="125">
                  <c:v>68900000</c:v>
                </c:pt>
                <c:pt idx="126">
                  <c:v>81300000</c:v>
                </c:pt>
                <c:pt idx="127">
                  <c:v>39200000</c:v>
                </c:pt>
                <c:pt idx="128">
                  <c:v>237000000</c:v>
                </c:pt>
                <c:pt idx="129">
                  <c:v>45800000</c:v>
                </c:pt>
                <c:pt idx="130">
                  <c:v>35900000</c:v>
                </c:pt>
                <c:pt idx="131">
                  <c:v>70100000</c:v>
                </c:pt>
                <c:pt idx="132">
                  <c:v>70400000</c:v>
                </c:pt>
                <c:pt idx="133">
                  <c:v>177100000</c:v>
                </c:pt>
                <c:pt idx="134">
                  <c:v>201600000</c:v>
                </c:pt>
                <c:pt idx="135">
                  <c:v>33000000</c:v>
                </c:pt>
                <c:pt idx="136">
                  <c:v>43400000</c:v>
                </c:pt>
                <c:pt idx="137">
                  <c:v>234100000</c:v>
                </c:pt>
                <c:pt idx="138">
                  <c:v>45400000</c:v>
                </c:pt>
                <c:pt idx="139">
                  <c:v>41600000</c:v>
                </c:pt>
                <c:pt idx="140">
                  <c:v>47300000</c:v>
                </c:pt>
                <c:pt idx="141">
                  <c:v>34700000</c:v>
                </c:pt>
                <c:pt idx="142">
                  <c:v>37400000</c:v>
                </c:pt>
                <c:pt idx="143">
                  <c:v>48300000</c:v>
                </c:pt>
                <c:pt idx="144">
                  <c:v>55200000</c:v>
                </c:pt>
                <c:pt idx="145">
                  <c:v>38300000</c:v>
                </c:pt>
                <c:pt idx="146">
                  <c:v>48900000</c:v>
                </c:pt>
                <c:pt idx="147">
                  <c:v>40000000</c:v>
                </c:pt>
                <c:pt idx="148">
                  <c:v>81100000</c:v>
                </c:pt>
                <c:pt idx="149">
                  <c:v>61900000</c:v>
                </c:pt>
                <c:pt idx="150">
                  <c:v>63500000</c:v>
                </c:pt>
                <c:pt idx="151">
                  <c:v>32799999.999999996</c:v>
                </c:pt>
                <c:pt idx="152">
                  <c:v>40800000</c:v>
                </c:pt>
                <c:pt idx="153">
                  <c:v>123400000</c:v>
                </c:pt>
                <c:pt idx="154">
                  <c:v>37000000</c:v>
                </c:pt>
                <c:pt idx="155">
                  <c:v>53400000</c:v>
                </c:pt>
                <c:pt idx="156">
                  <c:v>67700000</c:v>
                </c:pt>
                <c:pt idx="157">
                  <c:v>61800000</c:v>
                </c:pt>
                <c:pt idx="158">
                  <c:v>38800000</c:v>
                </c:pt>
                <c:pt idx="159">
                  <c:v>35300000</c:v>
                </c:pt>
                <c:pt idx="160">
                  <c:v>342700000</c:v>
                </c:pt>
                <c:pt idx="161">
                  <c:v>52800000</c:v>
                </c:pt>
                <c:pt idx="162">
                  <c:v>35600000</c:v>
                </c:pt>
                <c:pt idx="163">
                  <c:v>76100000</c:v>
                </c:pt>
                <c:pt idx="164">
                  <c:v>69900000</c:v>
                </c:pt>
                <c:pt idx="165">
                  <c:v>34100000</c:v>
                </c:pt>
                <c:pt idx="166">
                  <c:v>73900000</c:v>
                </c:pt>
                <c:pt idx="167">
                  <c:v>35000000</c:v>
                </c:pt>
                <c:pt idx="168">
                  <c:v>75300000</c:v>
                </c:pt>
                <c:pt idx="169">
                  <c:v>33299999.999999996</c:v>
                </c:pt>
                <c:pt idx="170">
                  <c:v>62900000</c:v>
                </c:pt>
                <c:pt idx="171">
                  <c:v>45400000</c:v>
                </c:pt>
                <c:pt idx="172">
                  <c:v>53400000</c:v>
                </c:pt>
                <c:pt idx="173">
                  <c:v>53900000</c:v>
                </c:pt>
                <c:pt idx="174">
                  <c:v>222200000</c:v>
                </c:pt>
                <c:pt idx="175">
                  <c:v>39900000</c:v>
                </c:pt>
                <c:pt idx="176">
                  <c:v>125100000</c:v>
                </c:pt>
                <c:pt idx="177">
                  <c:v>45900000</c:v>
                </c:pt>
                <c:pt idx="178">
                  <c:v>334100000</c:v>
                </c:pt>
                <c:pt idx="179">
                  <c:v>41500000</c:v>
                </c:pt>
                <c:pt idx="180">
                  <c:v>49300000</c:v>
                </c:pt>
                <c:pt idx="181">
                  <c:v>35600000</c:v>
                </c:pt>
                <c:pt idx="182">
                  <c:v>67700000</c:v>
                </c:pt>
                <c:pt idx="183">
                  <c:v>34700000</c:v>
                </c:pt>
                <c:pt idx="184">
                  <c:v>46200000</c:v>
                </c:pt>
                <c:pt idx="185">
                  <c:v>44800000</c:v>
                </c:pt>
                <c:pt idx="186">
                  <c:v>46800000</c:v>
                </c:pt>
                <c:pt idx="187">
                  <c:v>43800000</c:v>
                </c:pt>
                <c:pt idx="188">
                  <c:v>73200000</c:v>
                </c:pt>
                <c:pt idx="189">
                  <c:v>82300000</c:v>
                </c:pt>
                <c:pt idx="190">
                  <c:v>211800000</c:v>
                </c:pt>
                <c:pt idx="191">
                  <c:v>37400000</c:v>
                </c:pt>
                <c:pt idx="192">
                  <c:v>58700000</c:v>
                </c:pt>
                <c:pt idx="193">
                  <c:v>63900000</c:v>
                </c:pt>
                <c:pt idx="194">
                  <c:v>38700000</c:v>
                </c:pt>
                <c:pt idx="195">
                  <c:v>39200000</c:v>
                </c:pt>
                <c:pt idx="196">
                  <c:v>54500000</c:v>
                </c:pt>
                <c:pt idx="197">
                  <c:v>46500000</c:v>
                </c:pt>
                <c:pt idx="198">
                  <c:v>150700000</c:v>
                </c:pt>
                <c:pt idx="199">
                  <c:v>33500000</c:v>
                </c:pt>
              </c:numCache>
            </c:numRef>
          </c:val>
          <c:extLst>
            <c:ext xmlns:c16="http://schemas.microsoft.com/office/drawing/2014/chart" uri="{C3380CC4-5D6E-409C-BE32-E72D297353CC}">
              <c16:uniqueId val="{00000001-8349-4763-9CC0-957C42230197}"/>
            </c:ext>
          </c:extLst>
        </c:ser>
        <c:dLbls>
          <c:showLegendKey val="0"/>
          <c:showVal val="0"/>
          <c:showCatName val="0"/>
          <c:showSerName val="0"/>
          <c:showPercent val="0"/>
          <c:showBubbleSize val="0"/>
        </c:dLbls>
        <c:gapWidth val="219"/>
        <c:overlap val="-27"/>
        <c:axId val="354804831"/>
        <c:axId val="354807231"/>
      </c:barChart>
      <c:catAx>
        <c:axId val="35480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807231"/>
        <c:crosses val="autoZero"/>
        <c:auto val="1"/>
        <c:lblAlgn val="ctr"/>
        <c:lblOffset val="100"/>
        <c:noMultiLvlLbl val="0"/>
      </c:catAx>
      <c:valAx>
        <c:axId val="3548072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80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[project_4_top_influencers.xlsx]Growth in Likes by Influencer!PivotTable4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'Growth in Likes by Influencer'!$B$3</c:f>
              <c:strCache>
                <c:ptCount val="1"/>
                <c:pt idx="0">
                  <c:v>Total</c:v>
                </c:pt>
              </c:strCache>
            </c:strRef>
          </c:tx>
          <c:spPr>
            <a:ln w="28575" cap="rnd">
              <a:solidFill>
                <a:schemeClr val="accent1"/>
              </a:solidFill>
              <a:round/>
            </a:ln>
            <a:effectLst/>
          </c:spPr>
          <c:marker>
            <c:symbol val="none"/>
          </c:marker>
          <c:cat>
            <c:strRef>
              <c:f>'Growth in Likes by Influencer'!$A$4:$A$204</c:f>
              <c:strCache>
                <c:ptCount val="200"/>
                <c:pt idx="0">
                  <c:v>433</c:v>
                </c:pt>
                <c:pt idx="1">
                  <c:v>5-Minute Crafts GIRLY</c:v>
                </c:pt>
                <c:pt idx="2">
                  <c:v>9gag</c:v>
                </c:pt>
                <c:pt idx="3">
                  <c:v>addisonraee</c:v>
                </c:pt>
                <c:pt idx="4">
                  <c:v>adele</c:v>
                </c:pt>
                <c:pt idx="5">
                  <c:v>adidasoriginals</c:v>
                </c:pt>
                <c:pt idx="6">
                  <c:v>akshaykumar</c:v>
                </c:pt>
                <c:pt idx="7">
                  <c:v>aliaabhatt</c:v>
                </c:pt>
                <c:pt idx="8">
                  <c:v>andresiniesta8</c:v>
                </c:pt>
                <c:pt idx="9">
                  <c:v>anitta</c:v>
                </c:pt>
                <c:pt idx="10">
                  <c:v>antogriezmann</c:v>
                </c:pt>
                <c:pt idx="11">
                  <c:v>anushkasen0408</c:v>
                </c:pt>
                <c:pt idx="12">
                  <c:v>anushkasharma</c:v>
                </c:pt>
                <c:pt idx="13">
                  <c:v>arianagrande</c:v>
                </c:pt>
                <c:pt idx="14">
                  <c:v>ayutingting92</c:v>
                </c:pt>
                <c:pt idx="15">
                  <c:v>badbunnypr</c:v>
                </c:pt>
                <c:pt idx="16">
                  <c:v>badgalriri</c:v>
                </c:pt>
                <c:pt idx="17">
                  <c:v>barackobama</c:v>
                </c:pt>
                <c:pt idx="18">
                  <c:v>beingsalmankhan</c:v>
                </c:pt>
                <c:pt idx="19">
                  <c:v>bellahadid</c:v>
                </c:pt>
                <c:pt idx="20">
                  <c:v>beyonce</c:v>
                </c:pt>
                <c:pt idx="21">
                  <c:v>billieeilish</c:v>
                </c:pt>
                <c:pt idx="22">
                  <c:v>blackpinkofficial</c:v>
                </c:pt>
                <c:pt idx="23">
                  <c:v>blakelively</c:v>
                </c:pt>
                <c:pt idx="24">
                  <c:v>bmw</c:v>
                </c:pt>
                <c:pt idx="25">
                  <c:v>britneyspears</c:v>
                </c:pt>
                <c:pt idx="26">
                  <c:v>brunamarquezine</c:v>
                </c:pt>
                <c:pt idx="27">
                  <c:v>bts.bighitofficial</c:v>
                </c:pt>
                <c:pt idx="28">
                  <c:v>buzzfeedtasty</c:v>
                </c:pt>
                <c:pt idx="29">
                  <c:v>camila_cabello</c:v>
                </c:pt>
                <c:pt idx="30">
                  <c:v>caradelevingne</c:v>
                </c:pt>
                <c:pt idx="31">
                  <c:v>champagnepapi</c:v>
                </c:pt>
                <c:pt idx="32">
                  <c:v>charlidamelio</c:v>
                </c:pt>
                <c:pt idx="33">
                  <c:v>chrisbrownofficial</c:v>
                </c:pt>
                <c:pt idx="34">
                  <c:v>chrishemsworth</c:v>
                </c:pt>
                <c:pt idx="35">
                  <c:v>chrissyteigen</c:v>
                </c:pt>
                <c:pt idx="36">
                  <c:v>colesprouse</c:v>
                </c:pt>
                <c:pt idx="37">
                  <c:v>cristiano</c:v>
                </c:pt>
                <c:pt idx="38">
                  <c:v>cznburak</c:v>
                </c:pt>
                <c:pt idx="39">
                  <c:v>daddyyankee</c:v>
                </c:pt>
                <c:pt idx="40">
                  <c:v>danbilzerian</c:v>
                </c:pt>
                <c:pt idx="41">
                  <c:v>dannapaola</c:v>
                </c:pt>
                <c:pt idx="42">
                  <c:v>davidbeckham</c:v>
                </c:pt>
                <c:pt idx="43">
                  <c:v>ddlovato</c:v>
                </c:pt>
                <c:pt idx="44">
                  <c:v>deepikapadukone</c:v>
                </c:pt>
                <c:pt idx="45">
                  <c:v>dior</c:v>
                </c:pt>
                <c:pt idx="46">
                  <c:v>dishapatani</c:v>
                </c:pt>
                <c:pt idx="47">
                  <c:v>disney</c:v>
                </c:pt>
                <c:pt idx="48">
                  <c:v>dovecameron</c:v>
                </c:pt>
                <c:pt idx="49">
                  <c:v>dualipa</c:v>
                </c:pt>
                <c:pt idx="50">
                  <c:v>eminem</c:v>
                </c:pt>
                <c:pt idx="51">
                  <c:v>emmawatson</c:v>
                </c:pt>
                <c:pt idx="52">
                  <c:v>fcbarcelona</c:v>
                </c:pt>
                <c:pt idx="53">
                  <c:v>gal_gadot</c:v>
                </c:pt>
                <c:pt idx="54">
                  <c:v>garethbale11</c:v>
                </c:pt>
                <c:pt idx="55">
                  <c:v>georginagio</c:v>
                </c:pt>
                <c:pt idx="56">
                  <c:v>gigihadid</c:v>
                </c:pt>
                <c:pt idx="57">
                  <c:v>gisel_la</c:v>
                </c:pt>
                <c:pt idx="58">
                  <c:v>gucci</c:v>
                </c:pt>
                <c:pt idx="59">
                  <c:v>gusttavolima</c:v>
                </c:pt>
                <c:pt idx="60">
                  <c:v>haileybieber</c:v>
                </c:pt>
                <c:pt idx="61">
                  <c:v>harrystyles</c:v>
                </c:pt>
                <c:pt idx="62">
                  <c:v>hm</c:v>
                </c:pt>
                <c:pt idx="63">
                  <c:v>hrithikroshan</c:v>
                </c:pt>
                <c:pt idx="64">
                  <c:v>hudabeauty</c:v>
                </c:pt>
                <c:pt idx="65">
                  <c:v>iambeckyg</c:v>
                </c:pt>
                <c:pt idx="66">
                  <c:v>iamcardib</c:v>
                </c:pt>
                <c:pt idx="67">
                  <c:v>iamzlatanibrahimovic</c:v>
                </c:pt>
                <c:pt idx="68">
                  <c:v>ivetesangalo</c:v>
                </c:pt>
                <c:pt idx="69">
                  <c:v>j.m</c:v>
                </c:pt>
                <c:pt idx="70">
                  <c:v>jacquelinef143</c:v>
                </c:pt>
                <c:pt idx="71">
                  <c:v>jamesrodriguez10</c:v>
                </c:pt>
                <c:pt idx="72">
                  <c:v>jannatzubair29</c:v>
                </c:pt>
                <c:pt idx="73">
                  <c:v>jbalvin</c:v>
                </c:pt>
                <c:pt idx="74">
                  <c:v>jennierubyjane</c:v>
                </c:pt>
                <c:pt idx="75">
                  <c:v>jenniferaniston</c:v>
                </c:pt>
                <c:pt idx="76">
                  <c:v>jlo</c:v>
                </c:pt>
                <c:pt idx="77">
                  <c:v>jokowi</c:v>
                </c:pt>
                <c:pt idx="78">
                  <c:v>justinbieber</c:v>
                </c:pt>
                <c:pt idx="79">
                  <c:v>justintimberlake</c:v>
                </c:pt>
                <c:pt idx="80">
                  <c:v>juventus</c:v>
                </c:pt>
                <c:pt idx="81">
                  <c:v>k.mbappe</c:v>
                </c:pt>
                <c:pt idx="82">
                  <c:v>kapilsharma</c:v>
                </c:pt>
                <c:pt idx="83">
                  <c:v>karimbenzema</c:v>
                </c:pt>
                <c:pt idx="84">
                  <c:v>karolg</c:v>
                </c:pt>
                <c:pt idx="85">
                  <c:v>katrinakaif</c:v>
                </c:pt>
                <c:pt idx="86">
                  <c:v>katyperry</c:v>
                </c:pt>
                <c:pt idx="87">
                  <c:v>kendalljenner</c:v>
                </c:pt>
                <c:pt idx="88">
                  <c:v>kevinhart4real</c:v>
                </c:pt>
                <c:pt idx="89">
                  <c:v>khabib_nurmagomedov</c:v>
                </c:pt>
                <c:pt idx="90">
                  <c:v>khloekardashian</c:v>
                </c:pt>
                <c:pt idx="91">
                  <c:v>kimberly.loaiza</c:v>
                </c:pt>
                <c:pt idx="92">
                  <c:v>kimkardashian</c:v>
                </c:pt>
                <c:pt idx="93">
                  <c:v>kingjames</c:v>
                </c:pt>
                <c:pt idx="94">
                  <c:v>kourtneykardash</c:v>
                </c:pt>
                <c:pt idx="95">
                  <c:v>krisjenner</c:v>
                </c:pt>
                <c:pt idx="96">
                  <c:v>kritisanon</c:v>
                </c:pt>
                <c:pt idx="97">
                  <c:v>kyliejenner</c:v>
                </c:pt>
                <c:pt idx="98">
                  <c:v>ladygaga</c:v>
                </c:pt>
                <c:pt idx="99">
                  <c:v>lalalalisa_m</c:v>
                </c:pt>
                <c:pt idx="100">
                  <c:v>larissamanoela</c:v>
                </c:pt>
                <c:pt idx="101">
                  <c:v>laudyacynthiabella</c:v>
                </c:pt>
                <c:pt idx="102">
                  <c:v>lelepons</c:v>
                </c:pt>
                <c:pt idx="103">
                  <c:v>leomessi</c:v>
                </c:pt>
                <c:pt idx="104">
                  <c:v>leonardodicaprio</c:v>
                </c:pt>
                <c:pt idx="105">
                  <c:v>liverpoolfc</c:v>
                </c:pt>
                <c:pt idx="106">
                  <c:v>louisvuitton</c:v>
                </c:pt>
                <c:pt idx="107">
                  <c:v>luansantana</c:v>
                </c:pt>
                <c:pt idx="108">
                  <c:v>luissuarez9</c:v>
                </c:pt>
                <c:pt idx="109">
                  <c:v>lunamaya</c:v>
                </c:pt>
                <c:pt idx="110">
                  <c:v>mahi7781</c:v>
                </c:pt>
                <c:pt idx="111">
                  <c:v>maisa</c:v>
                </c:pt>
                <c:pt idx="112">
                  <c:v>maluma</c:v>
                </c:pt>
                <c:pt idx="113">
                  <c:v>manchesterunited</c:v>
                </c:pt>
                <c:pt idx="114">
                  <c:v>marcelotwelve</c:v>
                </c:pt>
                <c:pt idx="115">
                  <c:v>mariliamendoncacantora</c:v>
                </c:pt>
                <c:pt idx="116">
                  <c:v>marinaruybarbosa</c:v>
                </c:pt>
                <c:pt idx="117">
                  <c:v>marvel</c:v>
                </c:pt>
                <c:pt idx="118">
                  <c:v>marvelstudios</c:v>
                </c:pt>
                <c:pt idx="119">
                  <c:v>mercedesbenz</c:v>
                </c:pt>
                <c:pt idx="120">
                  <c:v>michelleobama</c:v>
                </c:pt>
                <c:pt idx="121">
                  <c:v>mileycyrus</c:v>
                </c:pt>
                <c:pt idx="122">
                  <c:v>milliebobbybrown</c:v>
                </c:pt>
                <c:pt idx="123">
                  <c:v>mosalah</c:v>
                </c:pt>
                <c:pt idx="124">
                  <c:v>nancyajram</c:v>
                </c:pt>
                <c:pt idx="125">
                  <c:v>narendramodi</c:v>
                </c:pt>
                <c:pt idx="126">
                  <c:v>nasa</c:v>
                </c:pt>
                <c:pt idx="127">
                  <c:v>natashawilona12</c:v>
                </c:pt>
                <c:pt idx="128">
                  <c:v>natgeo</c:v>
                </c:pt>
                <c:pt idx="129">
                  <c:v>natgeotravel</c:v>
                </c:pt>
                <c:pt idx="130">
                  <c:v>nattinatasha</c:v>
                </c:pt>
                <c:pt idx="131">
                  <c:v>nba</c:v>
                </c:pt>
                <c:pt idx="132">
                  <c:v>nehakakkar</c:v>
                </c:pt>
                <c:pt idx="133">
                  <c:v>neymarjr</c:v>
                </c:pt>
                <c:pt idx="134">
                  <c:v>nickiminaj</c:v>
                </c:pt>
                <c:pt idx="135">
                  <c:v>nickjonas</c:v>
                </c:pt>
                <c:pt idx="136">
                  <c:v>nickyjampr</c:v>
                </c:pt>
                <c:pt idx="137">
                  <c:v>nike</c:v>
                </c:pt>
                <c:pt idx="138">
                  <c:v>nikefootball</c:v>
                </c:pt>
                <c:pt idx="139">
                  <c:v>norafatehi</c:v>
                </c:pt>
                <c:pt idx="140">
                  <c:v>nusr_et</c:v>
                </c:pt>
                <c:pt idx="141">
                  <c:v>paollaoliveirareal</c:v>
                </c:pt>
                <c:pt idx="142">
                  <c:v>parineetichopra</c:v>
                </c:pt>
                <c:pt idx="143">
                  <c:v>paulodybala</c:v>
                </c:pt>
                <c:pt idx="144">
                  <c:v>paulpogba</c:v>
                </c:pt>
                <c:pt idx="145">
                  <c:v>prattprattpratt</c:v>
                </c:pt>
                <c:pt idx="146">
                  <c:v>prillylatuconsina96</c:v>
                </c:pt>
                <c:pt idx="147">
                  <c:v>princessyahrini</c:v>
                </c:pt>
                <c:pt idx="148">
                  <c:v>priyankachopra</c:v>
                </c:pt>
                <c:pt idx="149">
                  <c:v>psg</c:v>
                </c:pt>
                <c:pt idx="150">
                  <c:v>raffinagita1717</c:v>
                </c:pt>
                <c:pt idx="151">
                  <c:v>raisa6690</c:v>
                </c:pt>
                <c:pt idx="152">
                  <c:v>ranveersingh</c:v>
                </c:pt>
                <c:pt idx="153">
                  <c:v>realmadrid</c:v>
                </c:pt>
                <c:pt idx="154">
                  <c:v>rkive</c:v>
                </c:pt>
                <c:pt idx="155">
                  <c:v>robertdowneyjr</c:v>
                </c:pt>
                <c:pt idx="156">
                  <c:v>ronaldinho</c:v>
                </c:pt>
                <c:pt idx="157">
                  <c:v>roses_are_rosie</c:v>
                </c:pt>
                <c:pt idx="158">
                  <c:v>ruben_onsu</c:v>
                </c:pt>
                <c:pt idx="159">
                  <c:v>sachintendulkar</c:v>
                </c:pt>
                <c:pt idx="160">
                  <c:v>selenagomez</c:v>
                </c:pt>
                <c:pt idx="161">
                  <c:v>sergioramos</c:v>
                </c:pt>
                <c:pt idx="162">
                  <c:v>shahidkapoor</c:v>
                </c:pt>
                <c:pt idx="163">
                  <c:v>Shakira</c:v>
                </c:pt>
                <c:pt idx="164">
                  <c:v>shawnmendes</c:v>
                </c:pt>
                <c:pt idx="165">
                  <c:v>shaymitchell</c:v>
                </c:pt>
                <c:pt idx="166">
                  <c:v>shraddhakapoor</c:v>
                </c:pt>
                <c:pt idx="167">
                  <c:v>simonemendes</c:v>
                </c:pt>
                <c:pt idx="168">
                  <c:v>snoopdogg</c:v>
                </c:pt>
                <c:pt idx="169">
                  <c:v>sonamkapoor</c:v>
                </c:pt>
                <c:pt idx="170">
                  <c:v>sooyaaa__</c:v>
                </c:pt>
                <c:pt idx="171">
                  <c:v>stephencurry30</c:v>
                </c:pt>
                <c:pt idx="172">
                  <c:v>sunnyleone</c:v>
                </c:pt>
                <c:pt idx="173">
                  <c:v>tatawerneck</c:v>
                </c:pt>
                <c:pt idx="174">
                  <c:v>taylorswift</c:v>
                </c:pt>
                <c:pt idx="175">
                  <c:v>teddysphotos</c:v>
                </c:pt>
                <c:pt idx="176">
                  <c:v>theellenshow</c:v>
                </c:pt>
                <c:pt idx="177">
                  <c:v>thenotoriousmma</c:v>
                </c:pt>
                <c:pt idx="178">
                  <c:v>therock</c:v>
                </c:pt>
                <c:pt idx="179">
                  <c:v>theweeknd</c:v>
                </c:pt>
                <c:pt idx="180">
                  <c:v>thv</c:v>
                </c:pt>
                <c:pt idx="181">
                  <c:v>tigerjackieshroff</c:v>
                </c:pt>
                <c:pt idx="182">
                  <c:v>tomholland2013</c:v>
                </c:pt>
                <c:pt idx="183">
                  <c:v>toni.kr8s</c:v>
                </c:pt>
                <c:pt idx="184">
                  <c:v>travisscott</c:v>
                </c:pt>
                <c:pt idx="185">
                  <c:v>vancityreynolds</c:v>
                </c:pt>
                <c:pt idx="186">
                  <c:v>vanessahudgens</c:v>
                </c:pt>
                <c:pt idx="187">
                  <c:v>varundvn</c:v>
                </c:pt>
                <c:pt idx="188">
                  <c:v>victoriassecret</c:v>
                </c:pt>
                <c:pt idx="189">
                  <c:v>vindiesel</c:v>
                </c:pt>
                <c:pt idx="190">
                  <c:v>virat.kohli</c:v>
                </c:pt>
                <c:pt idx="191">
                  <c:v>wesleysafadao</c:v>
                </c:pt>
                <c:pt idx="192">
                  <c:v>whinderssonnunes</c:v>
                </c:pt>
                <c:pt idx="193">
                  <c:v>willsmith</c:v>
                </c:pt>
                <c:pt idx="194">
                  <c:v>wizkhalifa</c:v>
                </c:pt>
                <c:pt idx="195">
                  <c:v>worldstar</c:v>
                </c:pt>
                <c:pt idx="196">
                  <c:v>zacefron</c:v>
                </c:pt>
                <c:pt idx="197">
                  <c:v>zayn</c:v>
                </c:pt>
                <c:pt idx="198">
                  <c:v>zendaya</c:v>
                </c:pt>
                <c:pt idx="199">
                  <c:v>zidane</c:v>
                </c:pt>
              </c:strCache>
            </c:strRef>
          </c:cat>
          <c:val>
            <c:numRef>
              <c:f>'Growth in Likes by Influencer'!$B$4:$B$204</c:f>
              <c:numCache>
                <c:formatCode>0.00%</c:formatCode>
                <c:ptCount val="200"/>
                <c:pt idx="0">
                  <c:v>-10.31047265987025</c:v>
                </c:pt>
                <c:pt idx="1">
                  <c:v>-92.101910828025481</c:v>
                </c:pt>
                <c:pt idx="2">
                  <c:v>-63.038953315492122</c:v>
                </c:pt>
                <c:pt idx="3">
                  <c:v>-67.92258064516129</c:v>
                </c:pt>
                <c:pt idx="4">
                  <c:v>-59.574468085106382</c:v>
                </c:pt>
                <c:pt idx="5">
                  <c:v>-50.95447870778267</c:v>
                </c:pt>
                <c:pt idx="6">
                  <c:v>-58.34</c:v>
                </c:pt>
                <c:pt idx="7">
                  <c:v>16.666666666666664</c:v>
                </c:pt>
                <c:pt idx="8">
                  <c:v>-35.526315789473685</c:v>
                </c:pt>
                <c:pt idx="9">
                  <c:v>-50.181180596142603</c:v>
                </c:pt>
                <c:pt idx="10">
                  <c:v>-81.490909090909085</c:v>
                </c:pt>
                <c:pt idx="11">
                  <c:v>-5.3350589588725912</c:v>
                </c:pt>
                <c:pt idx="12">
                  <c:v>-26.315789473684209</c:v>
                </c:pt>
                <c:pt idx="13">
                  <c:v>5.4054054054054053</c:v>
                </c:pt>
                <c:pt idx="14">
                  <c:v>-61.778682959945684</c:v>
                </c:pt>
                <c:pt idx="15">
                  <c:v>45.945945945945951</c:v>
                </c:pt>
                <c:pt idx="16">
                  <c:v>-100</c:v>
                </c:pt>
                <c:pt idx="17">
                  <c:v>-62.590909090909086</c:v>
                </c:pt>
                <c:pt idx="18">
                  <c:v>-50.435714285714283</c:v>
                </c:pt>
                <c:pt idx="19">
                  <c:v>0</c:v>
                </c:pt>
                <c:pt idx="20">
                  <c:v>-44.444444444444443</c:v>
                </c:pt>
                <c:pt idx="21">
                  <c:v>-38.82352941176471</c:v>
                </c:pt>
                <c:pt idx="22">
                  <c:v>-38.095238095238095</c:v>
                </c:pt>
                <c:pt idx="23">
                  <c:v>-100</c:v>
                </c:pt>
                <c:pt idx="24">
                  <c:v>-66.926070038910495</c:v>
                </c:pt>
                <c:pt idx="25">
                  <c:v>-56.792048333658151</c:v>
                </c:pt>
                <c:pt idx="26">
                  <c:v>-54.19201814994328</c:v>
                </c:pt>
                <c:pt idx="27">
                  <c:v>-12.195121951219502</c:v>
                </c:pt>
                <c:pt idx="28">
                  <c:v>-88.172043010752688</c:v>
                </c:pt>
                <c:pt idx="29">
                  <c:v>-26.315789473684209</c:v>
                </c:pt>
                <c:pt idx="30">
                  <c:v>-77.09440647937231</c:v>
                </c:pt>
                <c:pt idx="31">
                  <c:v>-23.52941176470588</c:v>
                </c:pt>
                <c:pt idx="32">
                  <c:v>-61.904761904761905</c:v>
                </c:pt>
                <c:pt idx="33">
                  <c:v>-44.753886010362692</c:v>
                </c:pt>
                <c:pt idx="34">
                  <c:v>-25</c:v>
                </c:pt>
                <c:pt idx="35">
                  <c:v>-73.984914138982504</c:v>
                </c:pt>
                <c:pt idx="36">
                  <c:v>-62.06818181818182</c:v>
                </c:pt>
                <c:pt idx="37">
                  <c:v>-25.287356321839084</c:v>
                </c:pt>
                <c:pt idx="38">
                  <c:v>-53.015444962000494</c:v>
                </c:pt>
                <c:pt idx="39">
                  <c:v>-30.222222222222221</c:v>
                </c:pt>
                <c:pt idx="40">
                  <c:v>-40</c:v>
                </c:pt>
                <c:pt idx="41">
                  <c:v>-20</c:v>
                </c:pt>
                <c:pt idx="42">
                  <c:v>-71.591666666666669</c:v>
                </c:pt>
                <c:pt idx="43">
                  <c:v>-66.963636363636354</c:v>
                </c:pt>
                <c:pt idx="44">
                  <c:v>-6.25</c:v>
                </c:pt>
                <c:pt idx="45">
                  <c:v>-28.378378378378379</c:v>
                </c:pt>
                <c:pt idx="46">
                  <c:v>-39.268750000000004</c:v>
                </c:pt>
                <c:pt idx="47">
                  <c:v>-28.725701943844495</c:v>
                </c:pt>
                <c:pt idx="48">
                  <c:v>-47.412500000000001</c:v>
                </c:pt>
                <c:pt idx="49">
                  <c:v>-47.619047619047613</c:v>
                </c:pt>
                <c:pt idx="50">
                  <c:v>-12.481818181818181</c:v>
                </c:pt>
                <c:pt idx="51">
                  <c:v>-100</c:v>
                </c:pt>
                <c:pt idx="52">
                  <c:v>-41.141666666666666</c:v>
                </c:pt>
                <c:pt idx="53">
                  <c:v>-58.107142857142854</c:v>
                </c:pt>
                <c:pt idx="54">
                  <c:v>-10.707732634338139</c:v>
                </c:pt>
                <c:pt idx="55">
                  <c:v>50</c:v>
                </c:pt>
                <c:pt idx="56">
                  <c:v>-24</c:v>
                </c:pt>
                <c:pt idx="57">
                  <c:v>-77.807308970099669</c:v>
                </c:pt>
                <c:pt idx="58">
                  <c:v>-37.098175499565592</c:v>
                </c:pt>
                <c:pt idx="59">
                  <c:v>-36.034519048621341</c:v>
                </c:pt>
                <c:pt idx="60">
                  <c:v>-20</c:v>
                </c:pt>
                <c:pt idx="61">
                  <c:v>-38.297872340425535</c:v>
                </c:pt>
                <c:pt idx="62">
                  <c:v>-74.660633484162901</c:v>
                </c:pt>
                <c:pt idx="63">
                  <c:v>0</c:v>
                </c:pt>
                <c:pt idx="64">
                  <c:v>-90.987124463519308</c:v>
                </c:pt>
                <c:pt idx="65">
                  <c:v>-25.504969541519717</c:v>
                </c:pt>
                <c:pt idx="66">
                  <c:v>-51.612903225806448</c:v>
                </c:pt>
                <c:pt idx="67">
                  <c:v>-44.193333333333335</c:v>
                </c:pt>
                <c:pt idx="68">
                  <c:v>-46.510600706713781</c:v>
                </c:pt>
                <c:pt idx="69">
                  <c:v>-22.535211267605636</c:v>
                </c:pt>
                <c:pt idx="70">
                  <c:v>-34.654545454545456</c:v>
                </c:pt>
                <c:pt idx="71">
                  <c:v>-74.007142857142867</c:v>
                </c:pt>
                <c:pt idx="72">
                  <c:v>-27.361538461538458</c:v>
                </c:pt>
                <c:pt idx="73">
                  <c:v>-61.218678815489746</c:v>
                </c:pt>
                <c:pt idx="74">
                  <c:v>11.76470588235294</c:v>
                </c:pt>
                <c:pt idx="75">
                  <c:v>-84.108695652173921</c:v>
                </c:pt>
                <c:pt idx="76">
                  <c:v>-17.647058823529413</c:v>
                </c:pt>
                <c:pt idx="77">
                  <c:v>-58.108705258506411</c:v>
                </c:pt>
                <c:pt idx="78">
                  <c:v>-21.052631578947366</c:v>
                </c:pt>
                <c:pt idx="79">
                  <c:v>-68.454363757495003</c:v>
                </c:pt>
                <c:pt idx="80">
                  <c:v>-30.441478439425051</c:v>
                </c:pt>
                <c:pt idx="81">
                  <c:v>-36</c:v>
                </c:pt>
                <c:pt idx="82">
                  <c:v>-15.195545898967952</c:v>
                </c:pt>
                <c:pt idx="83">
                  <c:v>4.5987478656801368</c:v>
                </c:pt>
                <c:pt idx="84">
                  <c:v>83.870967741935488</c:v>
                </c:pt>
                <c:pt idx="85">
                  <c:v>-11.76470588235294</c:v>
                </c:pt>
                <c:pt idx="86">
                  <c:v>-62.923076923076927</c:v>
                </c:pt>
                <c:pt idx="87">
                  <c:v>-7.2727272727272725</c:v>
                </c:pt>
                <c:pt idx="88">
                  <c:v>-77.931034482758619</c:v>
                </c:pt>
                <c:pt idx="89">
                  <c:v>-67.785724711720917</c:v>
                </c:pt>
                <c:pt idx="90">
                  <c:v>-61.379166666666663</c:v>
                </c:pt>
                <c:pt idx="91">
                  <c:v>-30.76923076923077</c:v>
                </c:pt>
                <c:pt idx="92">
                  <c:v>-17.142857142857142</c:v>
                </c:pt>
                <c:pt idx="93">
                  <c:v>-42.857142857142854</c:v>
                </c:pt>
                <c:pt idx="94">
                  <c:v>-27.777777777777779</c:v>
                </c:pt>
                <c:pt idx="95">
                  <c:v>26.933856502242154</c:v>
                </c:pt>
                <c:pt idx="96">
                  <c:v>-32.634864021399913</c:v>
                </c:pt>
                <c:pt idx="97">
                  <c:v>-28.915662650602421</c:v>
                </c:pt>
                <c:pt idx="98">
                  <c:v>-62.028571428571432</c:v>
                </c:pt>
                <c:pt idx="99">
                  <c:v>24.137931034482758</c:v>
                </c:pt>
                <c:pt idx="100">
                  <c:v>-55.244996549344371</c:v>
                </c:pt>
                <c:pt idx="101">
                  <c:v>-74.884259259259252</c:v>
                </c:pt>
                <c:pt idx="102">
                  <c:v>-29.166666666666668</c:v>
                </c:pt>
                <c:pt idx="103">
                  <c:v>-35.294117647058826</c:v>
                </c:pt>
                <c:pt idx="104">
                  <c:v>-72.793931731984827</c:v>
                </c:pt>
                <c:pt idx="105">
                  <c:v>-53.014133256417651</c:v>
                </c:pt>
                <c:pt idx="106">
                  <c:v>-68.235294117647058</c:v>
                </c:pt>
                <c:pt idx="107">
                  <c:v>-57.26849456802897</c:v>
                </c:pt>
                <c:pt idx="108">
                  <c:v>-48.266400598653028</c:v>
                </c:pt>
                <c:pt idx="109">
                  <c:v>-59.697386519944985</c:v>
                </c:pt>
                <c:pt idx="110">
                  <c:v>-100</c:v>
                </c:pt>
                <c:pt idx="111">
                  <c:v>-46.817359855334537</c:v>
                </c:pt>
                <c:pt idx="112">
                  <c:v>-41.975000000000001</c:v>
                </c:pt>
                <c:pt idx="113">
                  <c:v>-36.720796228391826</c:v>
                </c:pt>
                <c:pt idx="114">
                  <c:v>-35.113619916051526</c:v>
                </c:pt>
                <c:pt idx="115">
                  <c:v>-18.14</c:v>
                </c:pt>
                <c:pt idx="116">
                  <c:v>-100</c:v>
                </c:pt>
                <c:pt idx="117">
                  <c:v>2.016250376166115</c:v>
                </c:pt>
                <c:pt idx="118">
                  <c:v>-6.4456411982497475</c:v>
                </c:pt>
                <c:pt idx="119">
                  <c:v>-67.357251136937847</c:v>
                </c:pt>
                <c:pt idx="120">
                  <c:v>-12.748037116345468</c:v>
                </c:pt>
                <c:pt idx="121">
                  <c:v>-29.723076923076924</c:v>
                </c:pt>
                <c:pt idx="122">
                  <c:v>25</c:v>
                </c:pt>
                <c:pt idx="123">
                  <c:v>-38.888888888888893</c:v>
                </c:pt>
                <c:pt idx="124">
                  <c:v>-46.721311475409841</c:v>
                </c:pt>
                <c:pt idx="125">
                  <c:v>-31.03448275862069</c:v>
                </c:pt>
                <c:pt idx="126">
                  <c:v>0</c:v>
                </c:pt>
                <c:pt idx="127">
                  <c:v>-53.19630010277492</c:v>
                </c:pt>
                <c:pt idx="128">
                  <c:v>-47.286565188616805</c:v>
                </c:pt>
                <c:pt idx="129">
                  <c:v>-72.195892575039494</c:v>
                </c:pt>
                <c:pt idx="130">
                  <c:v>-44.81760277938622</c:v>
                </c:pt>
                <c:pt idx="131">
                  <c:v>-46.898597626752967</c:v>
                </c:pt>
                <c:pt idx="132">
                  <c:v>-75.326666666666668</c:v>
                </c:pt>
                <c:pt idx="133">
                  <c:v>-29.629629629629626</c:v>
                </c:pt>
                <c:pt idx="134">
                  <c:v>-52.380952380952387</c:v>
                </c:pt>
                <c:pt idx="135">
                  <c:v>-35.005558643690939</c:v>
                </c:pt>
                <c:pt idx="136">
                  <c:v>-63.4958071278826</c:v>
                </c:pt>
                <c:pt idx="137">
                  <c:v>-44.741641337386021</c:v>
                </c:pt>
                <c:pt idx="138">
                  <c:v>-53.664192949907232</c:v>
                </c:pt>
                <c:pt idx="139">
                  <c:v>-48.035714285714285</c:v>
                </c:pt>
                <c:pt idx="140">
                  <c:v>-81.73578687173854</c:v>
                </c:pt>
                <c:pt idx="141">
                  <c:v>-47.71615008156607</c:v>
                </c:pt>
                <c:pt idx="142">
                  <c:v>-51.176586909234722</c:v>
                </c:pt>
                <c:pt idx="143">
                  <c:v>-22.222222222222221</c:v>
                </c:pt>
                <c:pt idx="144">
                  <c:v>-66.957142857142856</c:v>
                </c:pt>
                <c:pt idx="145">
                  <c:v>-55.279655808236015</c:v>
                </c:pt>
                <c:pt idx="146">
                  <c:v>-64.607948442534919</c:v>
                </c:pt>
                <c:pt idx="147">
                  <c:v>-26.120033812341504</c:v>
                </c:pt>
                <c:pt idx="148">
                  <c:v>-49.818750000000001</c:v>
                </c:pt>
                <c:pt idx="149">
                  <c:v>-35.624375624375624</c:v>
                </c:pt>
                <c:pt idx="150">
                  <c:v>-5.2468338071853191</c:v>
                </c:pt>
                <c:pt idx="151">
                  <c:v>-58.053402239448751</c:v>
                </c:pt>
                <c:pt idx="152">
                  <c:v>-70.069999999999993</c:v>
                </c:pt>
                <c:pt idx="153">
                  <c:v>-40.945593254366592</c:v>
                </c:pt>
                <c:pt idx="154">
                  <c:v>-100</c:v>
                </c:pt>
                <c:pt idx="155">
                  <c:v>-63.333333333333329</c:v>
                </c:pt>
                <c:pt idx="156">
                  <c:v>-62.687593080536139</c:v>
                </c:pt>
                <c:pt idx="157">
                  <c:v>30.434782608695656</c:v>
                </c:pt>
                <c:pt idx="158">
                  <c:v>-64.752333094041632</c:v>
                </c:pt>
                <c:pt idx="159">
                  <c:v>-16.979010494752625</c:v>
                </c:pt>
                <c:pt idx="160">
                  <c:v>-46.774193548387096</c:v>
                </c:pt>
                <c:pt idx="161">
                  <c:v>-49.281818181818181</c:v>
                </c:pt>
                <c:pt idx="162">
                  <c:v>-40</c:v>
                </c:pt>
                <c:pt idx="163">
                  <c:v>-68.751922879704637</c:v>
                </c:pt>
                <c:pt idx="164">
                  <c:v>-42.857142857142854</c:v>
                </c:pt>
                <c:pt idx="165">
                  <c:v>-66.206990715456044</c:v>
                </c:pt>
                <c:pt idx="166">
                  <c:v>-46.256250000000001</c:v>
                </c:pt>
                <c:pt idx="167">
                  <c:v>-46.928571428571431</c:v>
                </c:pt>
                <c:pt idx="168">
                  <c:v>-38.242513500245458</c:v>
                </c:pt>
                <c:pt idx="169">
                  <c:v>-20.96713260294673</c:v>
                </c:pt>
                <c:pt idx="170">
                  <c:v>31.111111111111111</c:v>
                </c:pt>
                <c:pt idx="171">
                  <c:v>9.0909090909090917</c:v>
                </c:pt>
                <c:pt idx="172">
                  <c:v>-60.562827225130889</c:v>
                </c:pt>
                <c:pt idx="173">
                  <c:v>-72.233798708064185</c:v>
                </c:pt>
                <c:pt idx="174">
                  <c:v>-4.1666666666666661</c:v>
                </c:pt>
                <c:pt idx="175">
                  <c:v>-74.689028651292801</c:v>
                </c:pt>
                <c:pt idx="176">
                  <c:v>-80.570749108204524</c:v>
                </c:pt>
                <c:pt idx="177">
                  <c:v>-71.681818181818187</c:v>
                </c:pt>
                <c:pt idx="178">
                  <c:v>-64.984210526315792</c:v>
                </c:pt>
                <c:pt idx="179">
                  <c:v>45.454545454545453</c:v>
                </c:pt>
                <c:pt idx="180">
                  <c:v>-18.181818181818183</c:v>
                </c:pt>
                <c:pt idx="181">
                  <c:v>-61.554545454545448</c:v>
                </c:pt>
                <c:pt idx="182">
                  <c:v>35.185185185185183</c:v>
                </c:pt>
                <c:pt idx="183">
                  <c:v>-10.666443402545212</c:v>
                </c:pt>
                <c:pt idx="184">
                  <c:v>-13.333333333333334</c:v>
                </c:pt>
                <c:pt idx="185">
                  <c:v>-14.285714285714285</c:v>
                </c:pt>
                <c:pt idx="186">
                  <c:v>-53.793973812904241</c:v>
                </c:pt>
                <c:pt idx="187">
                  <c:v>-41.772727272727273</c:v>
                </c:pt>
                <c:pt idx="188">
                  <c:v>-79.727891156462576</c:v>
                </c:pt>
                <c:pt idx="189">
                  <c:v>-65.55</c:v>
                </c:pt>
                <c:pt idx="190">
                  <c:v>-42.857142857142854</c:v>
                </c:pt>
                <c:pt idx="191">
                  <c:v>-100</c:v>
                </c:pt>
                <c:pt idx="192">
                  <c:v>-79.806250000000006</c:v>
                </c:pt>
                <c:pt idx="193">
                  <c:v>-100</c:v>
                </c:pt>
                <c:pt idx="194">
                  <c:v>-70.980687233508903</c:v>
                </c:pt>
                <c:pt idx="195">
                  <c:v>-46.378653113087672</c:v>
                </c:pt>
                <c:pt idx="196">
                  <c:v>91.304347826086953</c:v>
                </c:pt>
                <c:pt idx="197">
                  <c:v>-14.893617021276595</c:v>
                </c:pt>
                <c:pt idx="198">
                  <c:v>-17.241379310344829</c:v>
                </c:pt>
                <c:pt idx="199">
                  <c:v>-51.572727272727271</c:v>
                </c:pt>
              </c:numCache>
            </c:numRef>
          </c:val>
          <c:smooth val="0"/>
          <c:extLst>
            <c:ext xmlns:c16="http://schemas.microsoft.com/office/drawing/2014/chart" uri="{C3380CC4-5D6E-409C-BE32-E72D297353CC}">
              <c16:uniqueId val="{00000000-3DFB-4688-B73F-F13D42A97734}"/>
            </c:ext>
          </c:extLst>
        </c:ser>
        <c:dLbls>
          <c:showLegendKey val="0"/>
          <c:showVal val="0"/>
          <c:showCatName val="0"/>
          <c:showSerName val="0"/>
          <c:showPercent val="0"/>
          <c:showBubbleSize val="0"/>
        </c:dLbls>
        <c:smooth val="0"/>
        <c:axId val="219676079"/>
        <c:axId val="219675599"/>
      </c:lineChart>
      <c:catAx>
        <c:axId val="21967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75599"/>
        <c:crosses val="autoZero"/>
        <c:auto val="1"/>
        <c:lblAlgn val="ctr"/>
        <c:lblOffset val="100"/>
        <c:noMultiLvlLbl val="0"/>
      </c:catAx>
      <c:valAx>
        <c:axId val="219675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7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5</xdr:row>
      <xdr:rowOff>7620</xdr:rowOff>
    </xdr:from>
    <xdr:to>
      <xdr:col>4</xdr:col>
      <xdr:colOff>7620</xdr:colOff>
      <xdr:row>18</xdr:row>
      <xdr:rowOff>97155</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E371FD52-2FDF-41CD-BFEF-8532A5907A4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617220" y="1021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22</xdr:row>
      <xdr:rowOff>7620</xdr:rowOff>
    </xdr:from>
    <xdr:to>
      <xdr:col>4</xdr:col>
      <xdr:colOff>0</xdr:colOff>
      <xdr:row>35</xdr:row>
      <xdr:rowOff>97155</xdr:rowOff>
    </xdr:to>
    <mc:AlternateContent xmlns:mc="http://schemas.openxmlformats.org/markup-compatibility/2006" xmlns:a14="http://schemas.microsoft.com/office/drawing/2010/main">
      <mc:Choice Requires="a14">
        <xdr:graphicFrame macro="">
          <xdr:nvGraphicFramePr>
            <xdr:cNvPr id="3" name="channel_info">
              <a:extLst>
                <a:ext uri="{FF2B5EF4-FFF2-40B4-BE49-F238E27FC236}">
                  <a16:creationId xmlns:a16="http://schemas.microsoft.com/office/drawing/2014/main" id="{95A23822-8ABF-4C9E-8105-79054D4BE611}"/>
                </a:ext>
              </a:extLst>
            </xdr:cNvPr>
            <xdr:cNvGraphicFramePr/>
          </xdr:nvGraphicFramePr>
          <xdr:xfrm>
            <a:off x="0" y="0"/>
            <a:ext cx="0" cy="0"/>
          </xdr:xfrm>
          <a:graphic>
            <a:graphicData uri="http://schemas.microsoft.com/office/drawing/2010/slicer">
              <sle:slicer xmlns:sle="http://schemas.microsoft.com/office/drawing/2010/slicer" name="channel_info"/>
            </a:graphicData>
          </a:graphic>
        </xdr:graphicFrame>
      </mc:Choice>
      <mc:Fallback xmlns="">
        <xdr:sp macro="" textlink="">
          <xdr:nvSpPr>
            <xdr:cNvPr id="0" name=""/>
            <xdr:cNvSpPr>
              <a:spLocks noTextEdit="1"/>
            </xdr:cNvSpPr>
          </xdr:nvSpPr>
          <xdr:spPr>
            <a:xfrm>
              <a:off x="609600" y="4130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7620</xdr:colOff>
      <xdr:row>4</xdr:row>
      <xdr:rowOff>167640</xdr:rowOff>
    </xdr:from>
    <xdr:to>
      <xdr:col>12</xdr:col>
      <xdr:colOff>121920</xdr:colOff>
      <xdr:row>21</xdr:row>
      <xdr:rowOff>15240</xdr:rowOff>
    </xdr:to>
    <xdr:graphicFrame macro="">
      <xdr:nvGraphicFramePr>
        <xdr:cNvPr id="4" name="Chart 3">
          <a:extLst>
            <a:ext uri="{FF2B5EF4-FFF2-40B4-BE49-F238E27FC236}">
              <a16:creationId xmlns:a16="http://schemas.microsoft.com/office/drawing/2014/main" id="{4A26D87A-6CCD-45FA-8A4F-F87CE1184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601980</xdr:colOff>
      <xdr:row>5</xdr:row>
      <xdr:rowOff>7620</xdr:rowOff>
    </xdr:from>
    <xdr:to>
      <xdr:col>18</xdr:col>
      <xdr:colOff>426720</xdr:colOff>
      <xdr:row>21</xdr:row>
      <xdr:rowOff>7620</xdr:rowOff>
    </xdr:to>
    <xdr:graphicFrame macro="">
      <xdr:nvGraphicFramePr>
        <xdr:cNvPr id="5" name="Chart 4">
          <a:extLst>
            <a:ext uri="{FF2B5EF4-FFF2-40B4-BE49-F238E27FC236}">
              <a16:creationId xmlns:a16="http://schemas.microsoft.com/office/drawing/2014/main" id="{ED1EF6E2-CD88-42FF-A88A-6BF92EDD6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25</xdr:row>
      <xdr:rowOff>0</xdr:rowOff>
    </xdr:from>
    <xdr:to>
      <xdr:col>11</xdr:col>
      <xdr:colOff>586740</xdr:colOff>
      <xdr:row>40</xdr:row>
      <xdr:rowOff>99060</xdr:rowOff>
    </xdr:to>
    <xdr:graphicFrame macro="">
      <xdr:nvGraphicFramePr>
        <xdr:cNvPr id="6" name="Chart 5">
          <a:extLst>
            <a:ext uri="{FF2B5EF4-FFF2-40B4-BE49-F238E27FC236}">
              <a16:creationId xmlns:a16="http://schemas.microsoft.com/office/drawing/2014/main" id="{2C93A03D-9AD5-4528-8247-97D993142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xdr:colOff>
      <xdr:row>24</xdr:row>
      <xdr:rowOff>152400</xdr:rowOff>
    </xdr:from>
    <xdr:to>
      <xdr:col>19</xdr:col>
      <xdr:colOff>38100</xdr:colOff>
      <xdr:row>40</xdr:row>
      <xdr:rowOff>129540</xdr:rowOff>
    </xdr:to>
    <xdr:graphicFrame macro="">
      <xdr:nvGraphicFramePr>
        <xdr:cNvPr id="7" name="Chart 6">
          <a:extLst>
            <a:ext uri="{FF2B5EF4-FFF2-40B4-BE49-F238E27FC236}">
              <a16:creationId xmlns:a16="http://schemas.microsoft.com/office/drawing/2014/main" id="{0899DC26-023C-4799-BD6F-F2522ED76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3</xdr:row>
      <xdr:rowOff>171450</xdr:rowOff>
    </xdr:from>
    <xdr:to>
      <xdr:col>13</xdr:col>
      <xdr:colOff>45720</xdr:colOff>
      <xdr:row>29</xdr:row>
      <xdr:rowOff>91440</xdr:rowOff>
    </xdr:to>
    <xdr:graphicFrame macro="">
      <xdr:nvGraphicFramePr>
        <xdr:cNvPr id="2" name="Chart 1">
          <a:extLst>
            <a:ext uri="{FF2B5EF4-FFF2-40B4-BE49-F238E27FC236}">
              <a16:creationId xmlns:a16="http://schemas.microsoft.com/office/drawing/2014/main" id="{8197C340-72D0-EABC-FE52-6B93A3351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4</xdr:row>
      <xdr:rowOff>179070</xdr:rowOff>
    </xdr:from>
    <xdr:to>
      <xdr:col>12</xdr:col>
      <xdr:colOff>198120</xdr:colOff>
      <xdr:row>23</xdr:row>
      <xdr:rowOff>45720</xdr:rowOff>
    </xdr:to>
    <xdr:graphicFrame macro="">
      <xdr:nvGraphicFramePr>
        <xdr:cNvPr id="2" name="Chart 1">
          <a:extLst>
            <a:ext uri="{FF2B5EF4-FFF2-40B4-BE49-F238E27FC236}">
              <a16:creationId xmlns:a16="http://schemas.microsoft.com/office/drawing/2014/main" id="{A8B63545-26F2-DA03-2DAB-CA643011A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609600</xdr:colOff>
      <xdr:row>2</xdr:row>
      <xdr:rowOff>171450</xdr:rowOff>
    </xdr:from>
    <xdr:to>
      <xdr:col>8</xdr:col>
      <xdr:colOff>129540</xdr:colOff>
      <xdr:row>21</xdr:row>
      <xdr:rowOff>160020</xdr:rowOff>
    </xdr:to>
    <xdr:graphicFrame macro="">
      <xdr:nvGraphicFramePr>
        <xdr:cNvPr id="5" name="Chart 4">
          <a:extLst>
            <a:ext uri="{FF2B5EF4-FFF2-40B4-BE49-F238E27FC236}">
              <a16:creationId xmlns:a16="http://schemas.microsoft.com/office/drawing/2014/main" id="{B256402E-F519-13D2-16B1-872ABF78A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304800</xdr:colOff>
      <xdr:row>4</xdr:row>
      <xdr:rowOff>179070</xdr:rowOff>
    </xdr:from>
    <xdr:to>
      <xdr:col>12</xdr:col>
      <xdr:colOff>0</xdr:colOff>
      <xdr:row>22</xdr:row>
      <xdr:rowOff>167640</xdr:rowOff>
    </xdr:to>
    <xdr:graphicFrame macro="">
      <xdr:nvGraphicFramePr>
        <xdr:cNvPr id="2" name="Chart 1">
          <a:extLst>
            <a:ext uri="{FF2B5EF4-FFF2-40B4-BE49-F238E27FC236}">
              <a16:creationId xmlns:a16="http://schemas.microsoft.com/office/drawing/2014/main" id="{C973BDA4-9911-E0B3-E15E-ED4E8F4FC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i K" refreshedDate="45968.817887847224" createdVersion="8" refreshedVersion="8" minRefreshableVersion="3" recordCount="200" xr:uid="{AE542090-1D17-4CE6-B80B-2A3896A5FB2C}">
  <cacheSource type="worksheet">
    <worksheetSource ref="A1:T201" sheet="top_insta_influencers_data"/>
  </cacheSource>
  <cacheFields count="20">
    <cacheField name="rank" numFmtId="0">
      <sharedItems containsSemiMixedTypes="0" containsString="0" containsNumber="1" containsInteger="1" minValue="1" maxValue="200"/>
    </cacheField>
    <cacheField name="channel_info" numFmtId="0">
      <sharedItems containsMixedTypes="1" containsNumber="1" containsInteger="1" minValue="433" maxValue="433" count="200">
        <s v="cristiano"/>
        <s v="kyliejenner"/>
        <s v="leomessi"/>
        <s v="selenagomez"/>
        <s v="therock"/>
        <s v="kimkardashian"/>
        <s v="arianagrande"/>
        <s v="beyonce"/>
        <s v="khloekardashian"/>
        <s v="justinbieber"/>
        <s v="kendalljenner"/>
        <s v="natgeo"/>
        <s v="nike"/>
        <s v="taylorswift"/>
        <s v="jlo"/>
        <s v="virat.kohli"/>
        <s v="nickiminaj"/>
        <s v="kourtneykardash"/>
        <s v="mileycyrus"/>
        <s v="neymarjr"/>
        <s v="katyperry"/>
        <s v="kevinhart4real"/>
        <s v="zendaya"/>
        <s v="iamcardib"/>
        <s v="ddlovato"/>
        <s v="badgalriri"/>
        <s v="kingjames"/>
        <s v="theellenshow"/>
        <s v="realmadrid"/>
        <s v="champagnepapi"/>
        <s v="chrisbrownofficial"/>
        <s v="fcbarcelona"/>
        <s v="billieeilish"/>
        <s v="dualipa"/>
        <s v="gal_gadot"/>
        <s v="vindiesel"/>
        <s v="nasa"/>
        <s v="priyankachopra"/>
        <s v="lalalalisa_m"/>
        <s v="Shakira"/>
        <s v="snoopdogg"/>
        <s v="gigihadid"/>
        <s v="davidbeckham"/>
        <s v="shraddhakapoor"/>
        <s v="victoriassecret"/>
        <s v="k.mbappe"/>
        <s v="nehakakkar"/>
        <s v="nba"/>
        <s v="shawnmendes"/>
        <s v="jennierubyjane"/>
        <s v="narendramodi"/>
        <s v="aliaabhatt"/>
        <s v="deepikapadukone"/>
        <s v="tomholland2013"/>
        <s v="ronaldinho"/>
        <s v="emmawatson"/>
        <s v="bts.bighitofficial"/>
        <s v="katrinakaif"/>
        <s v="marvel"/>
        <s v="justintimberlake"/>
        <s v="camila_cabello"/>
        <s v="willsmith"/>
        <s v="raffinagita1717"/>
        <s v="anitta"/>
        <s v="sooyaaa__"/>
        <s v="maluma"/>
        <s v="akshaykumar"/>
        <s v="jacquelinef143"/>
        <s v="psg"/>
        <s v="roses_are_rosie"/>
        <s v="manchesterunited"/>
        <s v="anushkasharma"/>
        <s v="whinderssonnunes"/>
        <s v="9gag"/>
        <s v="marcelotwelve"/>
        <s v="milliebobbybrown"/>
        <s v="karimbenzema"/>
        <s v="chrishemsworth"/>
        <s v="karolg"/>
        <s v="paulpogba"/>
        <s v="iamzlatanibrahimovic"/>
        <s v="leonardodicaprio"/>
        <s v="juventus"/>
        <s v="zacefron"/>
        <s v="bellahadid"/>
        <s v="tatawerneck"/>
        <s v="beingsalmankhan"/>
        <s v="robertdowneyjr"/>
        <s v="sunnyleone"/>
        <s v="ladygaga"/>
        <s v="dishapatani"/>
        <s v="sergioramos"/>
        <s v="jbalvin"/>
        <s v="mosalah"/>
        <s v="ayutingting92"/>
        <n v="433"/>
        <s v="hudabeauty"/>
        <s v="adele"/>
        <s v="michelleobama"/>
        <s v="kritisanon"/>
        <s v="jamesrodriguez10"/>
        <s v="krisjenner"/>
        <s v="thv"/>
        <s v="lelepons"/>
        <s v="charlidamelio"/>
        <s v="gucci"/>
        <s v="prillylatuconsina96"/>
        <s v="louisvuitton"/>
        <s v="paulodybala"/>
        <s v="blackpinkofficial"/>
        <s v="dovecameron"/>
        <s v="garethbale11"/>
        <s v="jokowi"/>
        <s v="nusr_et"/>
        <s v="harrystyles"/>
        <s v="haileybieber"/>
        <s v="vanessahudgens"/>
        <s v="5-Minute Crafts GIRLY"/>
        <s v="zayn"/>
        <s v="larissamanoela"/>
        <s v="travisscott"/>
        <s v="thenotoriousmma"/>
        <s v="daddyyankee"/>
        <s v="natgeotravel"/>
        <s v="nikefootball"/>
        <s v="stephencurry30"/>
        <s v="vancityreynolds"/>
        <s v="maisa"/>
        <s v="luissuarez9"/>
        <s v="gusttavolima"/>
        <s v="jannatzubair29"/>
        <s v="varundvn"/>
        <s v="hrithikroshan"/>
        <s v="nickyjampr"/>
        <s v="buzzfeedtasty"/>
        <s v="brunamarquezine"/>
        <s v="caradelevingne"/>
        <s v="kapilsharma"/>
        <s v="badbunnypr"/>
        <s v="britneyspears"/>
        <s v="j.m"/>
        <s v="mariliamendoncacantora"/>
        <s v="norafatehi"/>
        <s v="theweeknd"/>
        <s v="dior"/>
        <s v="ranveersingh"/>
        <s v="marinaruybarbosa"/>
        <s v="jenniferaniston"/>
        <s v="addisonraee"/>
        <s v="andresiniesta8"/>
        <s v="princessyahrini"/>
        <s v="liverpoolfc"/>
        <s v="teddysphotos"/>
        <s v="worldstar"/>
        <s v="natashawilona12"/>
        <s v="mahi7781"/>
        <s v="georginagio"/>
        <s v="cznburak"/>
        <s v="chrissyteigen"/>
        <s v="ruben_onsu"/>
        <s v="wizkhalifa"/>
        <s v="hm"/>
        <s v="anushkasen0408"/>
        <s v="prattprattpratt"/>
        <s v="marvelstudios"/>
        <s v="wesleysafadao"/>
        <s v="parineetichopra"/>
        <s v="rkive"/>
        <s v="laudyacynthiabella"/>
        <s v="antogriezmann"/>
        <s v="gisel_la"/>
        <s v="eminem"/>
        <s v="mercedesbenz"/>
        <s v="colesprouse"/>
        <s v="nattinatasha"/>
        <s v="shahidkapoor"/>
        <s v="tigerjackieshroff"/>
        <s v="kimberly.loaiza"/>
        <s v="barackobama"/>
        <s v="sachintendulkar"/>
        <s v="simonemendes"/>
        <s v="ivetesangalo"/>
        <s v="lunamaya"/>
        <s v="toni.kr8s"/>
        <s v="dannapaola"/>
        <s v="paollaoliveirareal"/>
        <s v="blakelively"/>
        <s v="adidasoriginals"/>
        <s v="disney"/>
        <s v="shaymitchell"/>
        <s v="bmw"/>
        <s v="danbilzerian"/>
        <s v="khabib_nurmagomedov"/>
        <s v="zidane"/>
        <s v="sonamkapoor"/>
        <s v="iambeckyg"/>
        <s v="nancyajram"/>
        <s v="luansantana"/>
        <s v="nickjonas"/>
        <s v="raisa6690"/>
      </sharedItems>
    </cacheField>
    <cacheField name="influence_score" numFmtId="0">
      <sharedItems containsSemiMixedTypes="0" containsString="0" containsNumber="1" containsInteger="1" minValue="22" maxValue="93"/>
    </cacheField>
    <cacheField name="Posts numeric" numFmtId="0">
      <sharedItems containsSemiMixedTypes="0" containsString="0" containsNumber="1" containsInteger="1" minValue="10" maxValue="17500"/>
    </cacheField>
    <cacheField name="posts" numFmtId="4">
      <sharedItems/>
    </cacheField>
    <cacheField name="Followers Numeric" numFmtId="4">
      <sharedItems containsSemiMixedTypes="0" containsString="0" containsNumber="1" minValue="32799999.999999996" maxValue="475800000"/>
    </cacheField>
    <cacheField name="followers" numFmtId="4">
      <sharedItems/>
    </cacheField>
    <cacheField name="avg likes numerical" numFmtId="4">
      <sharedItems containsSemiMixedTypes="0" containsString="0" containsNumber="1" minValue="65099.999999999993" maxValue="15400000"/>
    </cacheField>
    <cacheField name="avg_likes" numFmtId="2">
      <sharedItems/>
    </cacheField>
    <cacheField name="60_day_eng_rate" numFmtId="0">
      <sharedItems containsMixedTypes="1" containsNumber="1" minValue="1E-4" maxValue="0.2641"/>
    </cacheField>
    <cacheField name="Avg New post like numerical" numFmtId="2">
      <sharedItems containsSemiMixedTypes="0" containsString="0" containsNumber="1" minValue="0" maxValue="12600000"/>
    </cacheField>
    <cacheField name="new_post_avg_like" numFmtId="2">
      <sharedItems containsMixedTypes="1" containsNumber="1" containsInteger="1" minValue="0" maxValue="0"/>
    </cacheField>
    <cacheField name="Total like numerical" numFmtId="2">
      <sharedItems containsSemiMixedTypes="0" containsString="0" containsNumber="1" minValue="18300000" maxValue="57400000000"/>
    </cacheField>
    <cacheField name="total_likes" numFmtId="2">
      <sharedItems/>
    </cacheField>
    <cacheField name="country" numFmtId="0">
      <sharedItems count="26">
        <s v="Spain"/>
        <s v="United States"/>
        <s v="Unknown"/>
        <s v="Canada"/>
        <s v="Brazil"/>
        <s v="Netherlands"/>
        <s v="United Kingdom"/>
        <s v="India"/>
        <s v="Uruguay"/>
        <s v="Turkey"/>
        <s v="Indonesia"/>
        <s v="Colombia"/>
        <s v="France"/>
        <s v="Australia"/>
        <s v="Italy"/>
        <s v="United Arab Emirates"/>
        <s v="Puerto Rico"/>
        <s v="CÃ´te d'Ivoire"/>
        <s v="Anguilla"/>
        <s v="Switzerland"/>
        <s v="Sweden"/>
        <s v="British Virgin Islands"/>
        <s v="Czech Republic"/>
        <s v="Mexico"/>
        <s v="Germany"/>
        <s v="Russia"/>
      </sharedItems>
    </cacheField>
    <cacheField name="Engagement Rate (%)" numFmtId="2">
      <sharedItems containsSemiMixedTypes="0" containsString="0" containsNumber="1" minValue="0" maxValue="26.252983293556088"/>
    </cacheField>
    <cacheField name="Growth in Likes (%)" numFmtId="10">
      <sharedItems containsSemiMixedTypes="0" containsString="0" containsNumber="1" minValue="-100" maxValue="91.304347826086953"/>
    </cacheField>
    <cacheField name="Likes per Follower" numFmtId="2">
      <sharedItems containsSemiMixedTypes="0" containsString="0" containsNumber="1" minValue="0.39869281045751637" maxValue="207.79220779220779"/>
    </cacheField>
    <cacheField name="Posts per Follower" numFmtId="164">
      <sharedItems containsSemiMixedTypes="0" containsString="0" containsNumber="1" minValue="2.3752969121140143E-7" maxValue="3.6899563318777294E-4"/>
    </cacheField>
    <cacheField name="Post Efficiency" numFmtId="2">
      <sharedItems containsSemiMixedTypes="0" containsString="0" containsNumber="1" minValue="65247.191011235955" maxValue="18405000"/>
    </cacheField>
  </cacheFields>
  <extLst>
    <ext xmlns:x14="http://schemas.microsoft.com/office/spreadsheetml/2009/9/main" uri="{725AE2AE-9491-48be-B2B4-4EB974FC3084}">
      <x14:pivotCacheDefinition pivotCacheId="1900516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n v="92"/>
    <n v="3300"/>
    <s v="3.3k"/>
    <n v="475800000"/>
    <s v="475.8m"/>
    <n v="8700000"/>
    <s v="8.7m"/>
    <n v="1.3899999999999999E-2"/>
    <n v="6500000"/>
    <s v="6.5m"/>
    <n v="29000000000"/>
    <s v="29.0b"/>
    <x v="0"/>
    <n v="1.3661202185792349"/>
    <n v="-25.287356321839084"/>
    <n v="60.94997898276587"/>
    <n v="6.9356872635561157E-6"/>
    <n v="8787878.7878787871"/>
  </r>
  <r>
    <n v="2"/>
    <x v="1"/>
    <n v="91"/>
    <n v="6900"/>
    <s v="6.9k"/>
    <n v="366200000"/>
    <s v="366.2m"/>
    <n v="8300000.0000000009"/>
    <s v="8.3m"/>
    <n v="1.6199999999999999E-2"/>
    <n v="5900000"/>
    <s v="5.9m"/>
    <n v="57400000000"/>
    <s v="57.4b"/>
    <x v="1"/>
    <n v="1.6111414527580556"/>
    <n v="-28.915662650602421"/>
    <n v="156.74494811578373"/>
    <n v="1.8842162752594212E-5"/>
    <n v="8318840.5797101445"/>
  </r>
  <r>
    <n v="3"/>
    <x v="2"/>
    <n v="90"/>
    <n v="890"/>
    <s v="0.89k"/>
    <n v="357300000"/>
    <s v="357.3m"/>
    <n v="6800000"/>
    <s v="6.8m"/>
    <n v="1.24E-2"/>
    <n v="4400000"/>
    <s v="4.4m"/>
    <n v="6000000000"/>
    <s v="6.0b"/>
    <x v="2"/>
    <n v="1.2314581584102995"/>
    <n v="-35.294117647058826"/>
    <n v="16.792611251049539"/>
    <n v="2.490904002239015E-6"/>
    <n v="6741573.0337078655"/>
  </r>
  <r>
    <n v="4"/>
    <x v="3"/>
    <n v="93"/>
    <n v="1800"/>
    <s v="1.8k"/>
    <n v="342700000"/>
    <s v="342.7m"/>
    <n v="6200000"/>
    <s v="6.2m"/>
    <n v="9.7000000000000003E-3"/>
    <n v="3300000"/>
    <s v="3.3m"/>
    <n v="11500000000"/>
    <s v="11.5b"/>
    <x v="1"/>
    <n v="0.96294134811788745"/>
    <n v="-46.774193548387096"/>
    <n v="33.557046979865774"/>
    <n v="5.2524073533702946E-6"/>
    <n v="6388888.888888889"/>
  </r>
  <r>
    <n v="5"/>
    <x v="4"/>
    <n v="91"/>
    <n v="6800"/>
    <s v="6.8k"/>
    <n v="334100000"/>
    <s v="334.1m"/>
    <n v="1900000"/>
    <s v="1.9m"/>
    <n v="2E-3"/>
    <n v="665300"/>
    <s v="665.3k"/>
    <n v="12500000000"/>
    <s v="12.5b"/>
    <x v="1"/>
    <n v="0.19913199640826099"/>
    <n v="-64.984210526315792"/>
    <n v="37.413947919784498"/>
    <n v="2.0353187668362766E-5"/>
    <n v="1838235.294117647"/>
  </r>
  <r>
    <n v="6"/>
    <x v="5"/>
    <n v="91"/>
    <n v="5600"/>
    <s v="5.6k"/>
    <n v="329200000"/>
    <s v="329.2m"/>
    <n v="3500000"/>
    <s v="3.5m"/>
    <n v="8.8000000000000005E-3"/>
    <n v="2900000"/>
    <s v="2.9m"/>
    <n v="19900000000"/>
    <s v="19.9b"/>
    <x v="1"/>
    <n v="0.88092345078979351"/>
    <n v="-17.142857142857142"/>
    <n v="60.449574726609967"/>
    <n v="1.7010935601458081E-5"/>
    <n v="3553571.4285714286"/>
  </r>
  <r>
    <n v="7"/>
    <x v="6"/>
    <n v="92"/>
    <n v="5000"/>
    <s v="5.0k"/>
    <n v="327700000"/>
    <s v="327.7m"/>
    <n v="3700000"/>
    <s v="3.7m"/>
    <n v="1.2E-2"/>
    <n v="3900000"/>
    <s v="3.9m"/>
    <n v="18400000000"/>
    <s v="18.4b"/>
    <x v="1"/>
    <n v="1.190112908147696"/>
    <n v="5.4054054054054053"/>
    <n v="56.148916692096428"/>
    <n v="1.5257857796765334E-5"/>
    <n v="3680000"/>
  </r>
  <r>
    <n v="8"/>
    <x v="7"/>
    <n v="92"/>
    <n v="2000"/>
    <s v="2.0k"/>
    <n v="272800000"/>
    <s v="272.8m"/>
    <n v="3600000"/>
    <s v="3.6m"/>
    <n v="7.6E-3"/>
    <n v="2000000"/>
    <s v="2.0m"/>
    <n v="7400000000"/>
    <s v="7.4b"/>
    <x v="1"/>
    <n v="0.73313782991202348"/>
    <n v="-44.444444444444443"/>
    <n v="27.126099706744867"/>
    <n v="7.3313782991202346E-6"/>
    <n v="3700000"/>
  </r>
  <r>
    <n v="9"/>
    <x v="8"/>
    <n v="89"/>
    <n v="4100"/>
    <s v="4.1k"/>
    <n v="268300000"/>
    <s v="268.3m"/>
    <n v="2400000"/>
    <s v="2.4m"/>
    <n v="3.5000000000000001E-3"/>
    <n v="926900"/>
    <s v="926.9k"/>
    <n v="9800000000"/>
    <s v="9.8b"/>
    <x v="1"/>
    <n v="0.34547148714125975"/>
    <n v="-61.379166666666663"/>
    <n v="36.526276556093926"/>
    <n v="1.528140141632501E-5"/>
    <n v="2390243.9024390243"/>
  </r>
  <r>
    <n v="10"/>
    <x v="9"/>
    <n v="91"/>
    <n v="7400"/>
    <s v="7.4k"/>
    <n v="254500000"/>
    <s v="254.5m"/>
    <n v="1900000"/>
    <s v="1.9m"/>
    <n v="5.8999999999999999E-3"/>
    <n v="1500000"/>
    <s v="1.5m"/>
    <n v="13900000000"/>
    <s v="13.9b"/>
    <x v="3"/>
    <n v="0.58939096267190572"/>
    <n v="-21.052631578947366"/>
    <n v="54.616895874263264"/>
    <n v="2.9076620825147347E-5"/>
    <n v="1878378.3783783785"/>
  </r>
  <r>
    <n v="11"/>
    <x v="10"/>
    <n v="90"/>
    <n v="660"/>
    <s v="0.66k"/>
    <n v="254000000"/>
    <s v="254.0m"/>
    <n v="5500000"/>
    <s v="5.5m"/>
    <n v="2.0400000000000001E-2"/>
    <n v="5100000"/>
    <s v="5.1m"/>
    <n v="3700000000"/>
    <s v="3.7b"/>
    <x v="1"/>
    <n v="2.0078740157480315"/>
    <n v="-7.2727272727272725"/>
    <n v="14.566929133858268"/>
    <n v="2.5984251968503939E-6"/>
    <n v="5606060.6060606064"/>
  </r>
  <r>
    <n v="12"/>
    <x v="11"/>
    <n v="91"/>
    <n v="10000"/>
    <s v="10.0k"/>
    <n v="237000000"/>
    <s v="237.0m"/>
    <n v="302200"/>
    <s v="302.2k"/>
    <n v="6.9999999999999999E-4"/>
    <n v="159300"/>
    <s v="159.3k"/>
    <n v="3000000000"/>
    <s v="3.0b"/>
    <x v="1"/>
    <n v="6.7215189873417722E-2"/>
    <n v="-47.286565188616805"/>
    <n v="12.658227848101266"/>
    <n v="4.2194092827004217E-5"/>
    <n v="300000"/>
  </r>
  <r>
    <n v="13"/>
    <x v="12"/>
    <n v="90"/>
    <n v="950"/>
    <s v="0.95k"/>
    <n v="234100000"/>
    <s v="234.1m"/>
    <n v="329000"/>
    <s v="329.0k"/>
    <n v="8.0000000000000004E-4"/>
    <n v="181800"/>
    <s v="181.8k"/>
    <n v="313600000"/>
    <s v="313.6m"/>
    <x v="1"/>
    <n v="7.7659120034173426E-2"/>
    <n v="-44.741641337386021"/>
    <n v="1.3395984621956429"/>
    <n v="4.0580948312686887E-6"/>
    <n v="330105.26315789472"/>
  </r>
  <r>
    <n v="14"/>
    <x v="13"/>
    <n v="91"/>
    <n v="530"/>
    <s v="0.53k"/>
    <n v="222200000"/>
    <s v="222.2m"/>
    <n v="2400000"/>
    <s v="2.4m"/>
    <n v="1.01E-2"/>
    <n v="2300000"/>
    <s v="2.3m"/>
    <n v="1300000000"/>
    <s v="1.3b"/>
    <x v="1"/>
    <n v="1.0351035103510351"/>
    <n v="-4.1666666666666661"/>
    <n v="5.8505850585058505"/>
    <n v="2.3852385238523851E-6"/>
    <n v="2452830.1886792453"/>
  </r>
  <r>
    <n v="15"/>
    <x v="14"/>
    <n v="89"/>
    <n v="3200"/>
    <s v="3.2k"/>
    <n v="220400000"/>
    <s v="220.4m"/>
    <n v="1700000"/>
    <s v="1.7m"/>
    <n v="6.1999999999999998E-3"/>
    <n v="1400000"/>
    <s v="1.4m"/>
    <n v="5300000000"/>
    <s v="5.3b"/>
    <x v="1"/>
    <n v="0.63520871143375679"/>
    <n v="-17.647058823529413"/>
    <n v="24.047186932849364"/>
    <n v="1.4519056261343013E-5"/>
    <n v="1656250"/>
  </r>
  <r>
    <n v="16"/>
    <x v="15"/>
    <n v="87"/>
    <n v="1400"/>
    <s v="1.4k"/>
    <n v="211800000"/>
    <s v="211.8m"/>
    <n v="3500000"/>
    <s v="3.5m"/>
    <n v="9.5999999999999992E-3"/>
    <n v="2000000"/>
    <s v="2.0m"/>
    <n v="4900000000"/>
    <s v="4.9b"/>
    <x v="2"/>
    <n v="0.94428706326723322"/>
    <n v="-42.857142857142854"/>
    <n v="23.135033050047216"/>
    <n v="6.6100094428706325E-6"/>
    <n v="3500000"/>
  </r>
  <r>
    <n v="17"/>
    <x v="16"/>
    <n v="90"/>
    <n v="6400"/>
    <s v="6.4k"/>
    <n v="201600000"/>
    <s v="201.6m"/>
    <n v="2100000"/>
    <s v="2.1m"/>
    <n v="5.3E-3"/>
    <n v="1000000"/>
    <s v="1.0m"/>
    <n v="13500000000"/>
    <s v="13.5b"/>
    <x v="1"/>
    <n v="0.49603174603174599"/>
    <n v="-52.380952380952387"/>
    <n v="66.964285714285708"/>
    <n v="3.1746031746031745E-5"/>
    <n v="2109375"/>
  </r>
  <r>
    <n v="18"/>
    <x v="17"/>
    <n v="89"/>
    <n v="4400"/>
    <s v="4.4k"/>
    <n v="195200000"/>
    <s v="195.2m"/>
    <n v="1800000"/>
    <s v="1.8m"/>
    <n v="6.7000000000000002E-3"/>
    <n v="1300000"/>
    <s v="1.3m"/>
    <n v="7700000000"/>
    <s v="7.7b"/>
    <x v="1"/>
    <n v="0.66598360655737698"/>
    <n v="-27.777777777777779"/>
    <n v="39.446721311475407"/>
    <n v="2.2540983606557376E-5"/>
    <n v="1750000"/>
  </r>
  <r>
    <n v="19"/>
    <x v="18"/>
    <n v="89"/>
    <n v="1200"/>
    <s v="1.2k"/>
    <n v="181500000"/>
    <s v="181.5m"/>
    <n v="1300000"/>
    <s v="1.3m"/>
    <n v="5.1000000000000004E-3"/>
    <n v="913600"/>
    <s v="913.6k"/>
    <n v="1600000000"/>
    <s v="1.6b"/>
    <x v="2"/>
    <n v="0.50336088154269965"/>
    <n v="-29.723076923076924"/>
    <n v="8.8154269972451793"/>
    <n v="6.611570247933884E-6"/>
    <n v="1333333.3333333333"/>
  </r>
  <r>
    <n v="20"/>
    <x v="19"/>
    <n v="90"/>
    <n v="5300"/>
    <s v="5.3k"/>
    <n v="177100000"/>
    <s v="177.1m"/>
    <n v="2700000"/>
    <s v="2.7m"/>
    <n v="1.09E-2"/>
    <n v="1900000"/>
    <s v="1.9m"/>
    <n v="14100000000"/>
    <s v="14.1b"/>
    <x v="4"/>
    <n v="1.0728402032749857"/>
    <n v="-29.629629629629626"/>
    <n v="79.616036137775268"/>
    <n v="2.9926595143986448E-5"/>
    <n v="2660377.3584905663"/>
  </r>
  <r>
    <n v="21"/>
    <x v="20"/>
    <n v="92"/>
    <n v="2000"/>
    <s v="2.0k"/>
    <n v="170300000"/>
    <s v="170.3m"/>
    <n v="715000"/>
    <s v="715.0k"/>
    <n v="1.6000000000000001E-3"/>
    <n v="265100"/>
    <s v="265.1k"/>
    <n v="1500000000"/>
    <s v="1.5b"/>
    <x v="2"/>
    <n v="0.15566647093364652"/>
    <n v="-62.923076923076927"/>
    <n v="8.8079859072225481"/>
    <n v="1.1743981209630064E-5"/>
    <n v="750000"/>
  </r>
  <r>
    <n v="22"/>
    <x v="21"/>
    <n v="88"/>
    <n v="8200"/>
    <s v="8.2k"/>
    <n v="152000000"/>
    <s v="152.0m"/>
    <n v="522000"/>
    <s v="522.0k"/>
    <n v="8.0000000000000004E-4"/>
    <n v="115200"/>
    <s v="115.2k"/>
    <n v="4300000000"/>
    <s v="4.3b"/>
    <x v="1"/>
    <n v="7.5789473684210532E-2"/>
    <n v="-77.931034482758619"/>
    <n v="28.289473684210527"/>
    <n v="5.3947368421052635E-5"/>
    <n v="524390.24390243902"/>
  </r>
  <r>
    <n v="23"/>
    <x v="22"/>
    <n v="87"/>
    <n v="3500"/>
    <s v="3.5k"/>
    <n v="150700000"/>
    <s v="150.7m"/>
    <n v="5800000"/>
    <s v="5.8m"/>
    <n v="3.1699999999999999E-2"/>
    <n v="4800000"/>
    <s v="4.8m"/>
    <n v="20600000000"/>
    <s v="20.6b"/>
    <x v="1"/>
    <n v="3.1851360318513606"/>
    <n v="-17.241379310344829"/>
    <n v="136.69542136695421"/>
    <n v="2.3224950232249504E-5"/>
    <n v="5885714.2857142854"/>
  </r>
  <r>
    <n v="24"/>
    <x v="23"/>
    <n v="75"/>
    <n v="1600"/>
    <s v="1.6k"/>
    <n v="140500000"/>
    <s v="140.5m"/>
    <n v="3100000"/>
    <s v="3.1m"/>
    <n v="1.0999999999999999E-2"/>
    <n v="1500000"/>
    <s v="1.5m"/>
    <n v="5000000000"/>
    <s v="5.0b"/>
    <x v="1"/>
    <n v="1.0676156583629894"/>
    <n v="-51.612903225806448"/>
    <n v="35.587188612099645"/>
    <n v="1.1387900355871885E-5"/>
    <n v="3125000"/>
  </r>
  <r>
    <n v="25"/>
    <x v="24"/>
    <n v="88"/>
    <n v="80"/>
    <s v="0.08k"/>
    <n v="139100000"/>
    <s v="139.1m"/>
    <n v="1100000"/>
    <s v="1.1m"/>
    <n v="2.7000000000000001E-3"/>
    <n v="363400"/>
    <s v="363.4k"/>
    <n v="91300000"/>
    <s v="91.3m"/>
    <x v="1"/>
    <n v="0.26125089863407619"/>
    <n v="-66.963636363636354"/>
    <n v="0.65636232925952553"/>
    <n v="5.7512580877066862E-7"/>
    <n v="1141250"/>
  </r>
  <r>
    <n v="26"/>
    <x v="25"/>
    <n v="88"/>
    <n v="4800"/>
    <s v="4.8k"/>
    <n v="135300000"/>
    <s v="135.3m"/>
    <n v="3700000"/>
    <s v="3.7m"/>
    <n v="2.0000000000000001E-4"/>
    <n v="0"/>
    <n v="0"/>
    <n v="17900000000"/>
    <s v="17.9b"/>
    <x v="1"/>
    <n v="0"/>
    <n v="-100"/>
    <n v="132.29859571322987"/>
    <n v="3.5476718403547673E-5"/>
    <n v="3729166.6666666665"/>
  </r>
  <r>
    <n v="27"/>
    <x v="26"/>
    <n v="86"/>
    <n v="2300"/>
    <s v="2.3k"/>
    <n v="130900000"/>
    <s v="130.9m"/>
    <n v="2100000"/>
    <s v="2.1m"/>
    <n v="9.1999999999999998E-3"/>
    <n v="1200000"/>
    <s v="1.2m"/>
    <n v="4900000000"/>
    <s v="4.9b"/>
    <x v="2"/>
    <n v="0.91673032849503444"/>
    <n v="-42.857142857142854"/>
    <n v="37.433155080213901"/>
    <n v="1.757066462948816E-5"/>
    <n v="2130434.7826086958"/>
  </r>
  <r>
    <n v="28"/>
    <x v="27"/>
    <n v="87"/>
    <n v="10000"/>
    <s v="10.0k"/>
    <n v="125100000"/>
    <s v="125.1m"/>
    <n v="420500"/>
    <s v="420.5k"/>
    <n v="6.9999999999999999E-4"/>
    <n v="81700"/>
    <s v="81.7k"/>
    <n v="4200000000"/>
    <s v="4.2b"/>
    <x v="1"/>
    <n v="6.5307753796962437E-2"/>
    <n v="-80.570749108204524"/>
    <n v="33.573141486810549"/>
    <n v="7.9936051159072748E-5"/>
    <n v="420000"/>
  </r>
  <r>
    <n v="29"/>
    <x v="28"/>
    <n v="90"/>
    <n v="6900"/>
    <s v="6.9k"/>
    <n v="123400000"/>
    <s v="123.4m"/>
    <n v="996200"/>
    <s v="996.2k"/>
    <n v="4.7999999999999996E-3"/>
    <n v="588300"/>
    <s v="588.3k"/>
    <n v="6800000000"/>
    <s v="6.8b"/>
    <x v="0"/>
    <n v="0.47674230145867103"/>
    <n v="-40.945593254366592"/>
    <n v="55.105348460291737"/>
    <n v="5.5915721231766613E-5"/>
    <n v="985507.24637681164"/>
  </r>
  <r>
    <n v="30"/>
    <x v="29"/>
    <n v="85"/>
    <n v="5200"/>
    <s v="5.2k"/>
    <n v="119600000"/>
    <s v="119.6m"/>
    <n v="1700000"/>
    <s v="1.7m"/>
    <n v="1.0999999999999999E-2"/>
    <n v="1300000"/>
    <s v="1.3m"/>
    <n v="9000000000"/>
    <s v="9.0b"/>
    <x v="5"/>
    <n v="1.0869565217391304"/>
    <n v="-23.52941176470588"/>
    <n v="75.250836120401331"/>
    <n v="4.347826086956522E-5"/>
    <n v="1730769.2307692308"/>
  </r>
  <r>
    <n v="31"/>
    <x v="30"/>
    <n v="86"/>
    <n v="7300"/>
    <s v="7.3k"/>
    <n v="118500000"/>
    <s v="118.5m"/>
    <n v="463200"/>
    <s v="463.2k"/>
    <n v="2.2000000000000001E-3"/>
    <n v="255900"/>
    <s v="255.9k"/>
    <n v="3400000000"/>
    <s v="3.4b"/>
    <x v="1"/>
    <n v="0.2159493670886076"/>
    <n v="-44.753886010362692"/>
    <n v="28.691983122362871"/>
    <n v="6.1603375527426158E-5"/>
    <n v="465753.42465753423"/>
  </r>
  <r>
    <n v="32"/>
    <x v="31"/>
    <n v="90"/>
    <n v="10000"/>
    <s v="10.0k"/>
    <n v="111400000"/>
    <s v="111.4m"/>
    <n v="1200000"/>
    <s v="1.2m"/>
    <n v="6.4000000000000003E-3"/>
    <n v="706300"/>
    <s v="706.3k"/>
    <n v="11600000000"/>
    <s v="11.6b"/>
    <x v="2"/>
    <n v="0.63402154398563737"/>
    <n v="-41.141666666666666"/>
    <n v="104.12926391382406"/>
    <n v="8.9766606822262124E-5"/>
    <n v="1160000"/>
  </r>
  <r>
    <n v="33"/>
    <x v="32"/>
    <n v="73"/>
    <n v="690"/>
    <s v="0.69k"/>
    <n v="105200000"/>
    <s v="105.2m"/>
    <n v="8500000"/>
    <s v="8.5m"/>
    <n v="5.0200000000000002E-2"/>
    <n v="5200000"/>
    <s v="5.2m"/>
    <n v="5900000000"/>
    <s v="5.9b"/>
    <x v="2"/>
    <n v="4.9429657794676807"/>
    <n v="-38.82352941176471"/>
    <n v="56.083650190114071"/>
    <n v="6.5589353612167302E-6"/>
    <n v="8550724.6376811601"/>
  </r>
  <r>
    <n v="34"/>
    <x v="33"/>
    <n v="74"/>
    <n v="1300"/>
    <s v="1.3k"/>
    <n v="85900000"/>
    <s v="85.9m"/>
    <n v="2100000"/>
    <s v="2.1m"/>
    <n v="1.26E-2"/>
    <n v="1100000"/>
    <s v="1.1m"/>
    <n v="2600000000"/>
    <s v="2.6b"/>
    <x v="6"/>
    <n v="1.2805587892898718"/>
    <n v="-47.619047619047613"/>
    <n v="30.267753201396975"/>
    <n v="1.5133876600698487E-5"/>
    <n v="2000000"/>
  </r>
  <r>
    <n v="35"/>
    <x v="34"/>
    <n v="85"/>
    <n v="1700"/>
    <s v="1.7k"/>
    <n v="85600000"/>
    <s v="85.6m"/>
    <n v="1400000"/>
    <s v="1.4m"/>
    <n v="6.8999999999999999E-3"/>
    <n v="586500"/>
    <s v="586.5k"/>
    <n v="2300000000"/>
    <s v="2.3b"/>
    <x v="1"/>
    <n v="0.68516355140186913"/>
    <n v="-58.107142857142854"/>
    <n v="26.869158878504674"/>
    <n v="1.9859813084112148E-5"/>
    <n v="1352941.1764705882"/>
  </r>
  <r>
    <n v="36"/>
    <x v="35"/>
    <n v="88"/>
    <n v="1800"/>
    <s v="1.8k"/>
    <n v="82300000"/>
    <s v="82.3m"/>
    <n v="1400000"/>
    <s v="1.4m"/>
    <n v="6.0000000000000001E-3"/>
    <n v="482300"/>
    <s v="482.3k"/>
    <n v="2500000000"/>
    <s v="2.5b"/>
    <x v="1"/>
    <n v="0.58602673147023077"/>
    <n v="-65.55"/>
    <n v="30.376670716889429"/>
    <n v="2.1871202916160387E-5"/>
    <n v="1388888.888888889"/>
  </r>
  <r>
    <n v="37"/>
    <x v="36"/>
    <n v="88"/>
    <n v="3600"/>
    <s v="3.6k"/>
    <n v="81300000"/>
    <s v="81.3m"/>
    <n v="1200000"/>
    <s v="1.2m"/>
    <n v="1.5299999999999999E-2"/>
    <n v="1200000"/>
    <s v="1.2m"/>
    <n v="4200000000"/>
    <s v="4.2b"/>
    <x v="1"/>
    <n v="1.4760147601476015"/>
    <n v="0"/>
    <n v="51.660516605166052"/>
    <n v="4.4280442804428042E-5"/>
    <n v="1166666.6666666667"/>
  </r>
  <r>
    <n v="38"/>
    <x v="37"/>
    <n v="85"/>
    <n v="3600"/>
    <s v="3.6k"/>
    <n v="81100000"/>
    <s v="81.1m"/>
    <n v="1600000"/>
    <s v="1.6m"/>
    <n v="0.01"/>
    <n v="802900"/>
    <s v="802.9k"/>
    <n v="5600000000"/>
    <s v="5.6b"/>
    <x v="1"/>
    <n v="0.99001233045622683"/>
    <n v="-49.818750000000001"/>
    <n v="69.050554870530206"/>
    <n v="4.4389642416769423E-5"/>
    <n v="1555555.5555555555"/>
  </r>
  <r>
    <n v="39"/>
    <x v="38"/>
    <n v="70"/>
    <n v="870"/>
    <s v="0.87k"/>
    <n v="80900000"/>
    <s v="80.9m"/>
    <n v="5800000"/>
    <s v="5.8m"/>
    <n v="0.09"/>
    <n v="7200000"/>
    <s v="7.2m"/>
    <n v="5100000000"/>
    <s v="5.1b"/>
    <x v="2"/>
    <n v="8.8998763906056855"/>
    <n v="24.137931034482758"/>
    <n v="63.040791100123606"/>
    <n v="1.0754017305315203E-5"/>
    <n v="5862068.9655172415"/>
  </r>
  <r>
    <n v="40"/>
    <x v="39"/>
    <n v="88"/>
    <n v="2000"/>
    <s v="2.0k"/>
    <n v="76100000"/>
    <s v="76.1m"/>
    <n v="975100"/>
    <s v="975.1k"/>
    <n v="4.1000000000000003E-3"/>
    <n v="304700"/>
    <s v="304.7k"/>
    <n v="1900000000"/>
    <s v="1.9b"/>
    <x v="2"/>
    <n v="0.4003942181340342"/>
    <n v="-68.751922879704637"/>
    <n v="24.967148488830485"/>
    <n v="2.6281208935611039E-5"/>
    <n v="950000"/>
  </r>
  <r>
    <n v="41"/>
    <x v="40"/>
    <n v="86"/>
    <n v="10000"/>
    <s v="10.0k"/>
    <n v="75300000"/>
    <s v="75.3m"/>
    <n v="203700"/>
    <s v="203.7k"/>
    <n v="1.6999999999999999E-3"/>
    <n v="125800"/>
    <s v="125.8k"/>
    <n v="2000000000"/>
    <s v="2.0b"/>
    <x v="2"/>
    <n v="0.16706507304116866"/>
    <n v="-38.242513500245458"/>
    <n v="26.56042496679947"/>
    <n v="1.3280212483399734E-4"/>
    <n v="200000"/>
  </r>
  <r>
    <n v="42"/>
    <x v="41"/>
    <n v="85"/>
    <n v="3300"/>
    <s v="3.3k"/>
    <n v="75300000"/>
    <s v="75.3m"/>
    <n v="2500000"/>
    <s v="2.5m"/>
    <n v="2.5600000000000001E-2"/>
    <n v="1900000"/>
    <s v="1.9m"/>
    <n v="8199999999.999999"/>
    <s v="8.2b"/>
    <x v="1"/>
    <n v="2.5232403718459495"/>
    <n v="-24"/>
    <n v="108.89774236387781"/>
    <n v="4.3824701195219122E-5"/>
    <n v="2484848.4848484844"/>
  </r>
  <r>
    <n v="43"/>
    <x v="42"/>
    <n v="86"/>
    <n v="1500"/>
    <s v="1.5k"/>
    <n v="74900000"/>
    <s v="74.9m"/>
    <n v="1200000"/>
    <s v="1.2m"/>
    <n v="4.5999999999999999E-3"/>
    <n v="340900"/>
    <s v="340.9k"/>
    <n v="1900000000"/>
    <s v="1.9b"/>
    <x v="1"/>
    <n v="0.45514018691588787"/>
    <n v="-71.591666666666669"/>
    <n v="25.367156208277702"/>
    <n v="2.0026702269692923E-5"/>
    <n v="1266666.6666666667"/>
  </r>
  <r>
    <n v="44"/>
    <x v="43"/>
    <n v="81"/>
    <n v="1900"/>
    <s v="1.9k"/>
    <n v="73900000"/>
    <s v="73.9m"/>
    <n v="1600000"/>
    <s v="1.6m"/>
    <n v="1.17E-2"/>
    <n v="859900"/>
    <s v="859.9k"/>
    <n v="3000000000"/>
    <s v="3.0b"/>
    <x v="2"/>
    <n v="1.1635994587280107"/>
    <n v="-46.256250000000001"/>
    <n v="40.595399188092017"/>
    <n v="2.5710419485791609E-5"/>
    <n v="1578947.3684210526"/>
  </r>
  <r>
    <n v="45"/>
    <x v="44"/>
    <n v="88"/>
    <n v="2900"/>
    <s v="2.9k"/>
    <n v="73200000"/>
    <s v="73.2m"/>
    <n v="147000"/>
    <s v="147.0k"/>
    <n v="4.0000000000000002E-4"/>
    <n v="29800"/>
    <s v="29.8k"/>
    <n v="423500000"/>
    <s v="423.5m"/>
    <x v="1"/>
    <n v="4.07103825136612E-2"/>
    <n v="-79.727891156462576"/>
    <n v="5.7855191256830603"/>
    <n v="3.9617486338797817E-5"/>
    <n v="146034.4827586207"/>
  </r>
  <r>
    <n v="46"/>
    <x v="45"/>
    <n v="86"/>
    <n v="1200"/>
    <s v="1.2k"/>
    <n v="72700000"/>
    <s v="72.7m"/>
    <n v="2500000"/>
    <s v="2.5m"/>
    <n v="2.1600000000000001E-2"/>
    <n v="1600000"/>
    <s v="1.6m"/>
    <n v="2800000000"/>
    <s v="2.8b"/>
    <x v="2"/>
    <n v="2.200825309491059"/>
    <n v="-36"/>
    <n v="38.514442916093536"/>
    <n v="1.6506189821182943E-5"/>
    <n v="2333333.3333333335"/>
  </r>
  <r>
    <n v="47"/>
    <x v="46"/>
    <n v="84"/>
    <n v="2300"/>
    <s v="2.3k"/>
    <n v="70400000"/>
    <s v="70.4m"/>
    <n v="1500000"/>
    <s v="1.5m"/>
    <n v="5.4000000000000003E-3"/>
    <n v="370100"/>
    <s v="370.1k"/>
    <n v="3500000000"/>
    <s v="3.5b"/>
    <x v="7"/>
    <n v="0.52571022727272732"/>
    <n v="-75.326666666666668"/>
    <n v="49.715909090909093"/>
    <n v="3.2670454545454543E-5"/>
    <n v="1521739.1304347827"/>
  </r>
  <r>
    <n v="48"/>
    <x v="47"/>
    <n v="87"/>
    <n v="12900"/>
    <s v="12.9k"/>
    <n v="70100000"/>
    <s v="70.1m"/>
    <n v="370800"/>
    <s v="370.8k"/>
    <n v="2.8E-3"/>
    <n v="196900"/>
    <s v="196.9k"/>
    <n v="4800000000"/>
    <s v="4.8b"/>
    <x v="1"/>
    <n v="0.28088445078459345"/>
    <n v="-46.898597626752967"/>
    <n v="68.473609129814548"/>
    <n v="1.8402282453637662E-4"/>
    <n v="372093.02325581393"/>
  </r>
  <r>
    <n v="49"/>
    <x v="48"/>
    <n v="83"/>
    <n v="2500"/>
    <s v="2.5k"/>
    <n v="69900000"/>
    <s v="69.9m"/>
    <n v="3500000"/>
    <s v="3.5m"/>
    <n v="2.87E-2"/>
    <n v="2000000"/>
    <s v="2.0m"/>
    <n v="8800000000"/>
    <s v="8.8b"/>
    <x v="3"/>
    <n v="2.8612303290414878"/>
    <n v="-42.857142857142854"/>
    <n v="125.89413447782546"/>
    <n v="3.5765379113018601E-5"/>
    <n v="3520000"/>
  </r>
  <r>
    <n v="50"/>
    <x v="49"/>
    <n v="76"/>
    <n v="860"/>
    <s v="0.86k"/>
    <n v="68900000"/>
    <s v="68.9m"/>
    <n v="5100000"/>
    <s v="5.1m"/>
    <n v="8.3599999999999994E-2"/>
    <n v="5700000"/>
    <s v="5.7m"/>
    <n v="4400000000"/>
    <s v="4.4b"/>
    <x v="2"/>
    <n v="8.2728592162554424"/>
    <n v="11.76470588235294"/>
    <n v="63.860667634252543"/>
    <n v="1.2481857764876632E-5"/>
    <n v="5116279.0697674416"/>
  </r>
  <r>
    <n v="51"/>
    <x v="50"/>
    <n v="85"/>
    <n v="540"/>
    <s v="0.54k"/>
    <n v="68900000"/>
    <s v="68.9m"/>
    <n v="2900000"/>
    <s v="2.9m"/>
    <n v="3.0099999999999998E-2"/>
    <n v="2000000"/>
    <s v="2.0m"/>
    <n v="1600000000"/>
    <s v="1.6b"/>
    <x v="7"/>
    <n v="2.9027576197387517"/>
    <n v="-31.03448275862069"/>
    <n v="23.222060957910013"/>
    <n v="7.83744557329463E-6"/>
    <n v="2962962.9629629632"/>
  </r>
  <r>
    <n v="52"/>
    <x v="51"/>
    <n v="82"/>
    <n v="1800"/>
    <s v="1.8k"/>
    <n v="68700000"/>
    <s v="68.7m"/>
    <n v="1800000"/>
    <s v="1.8m"/>
    <n v="3.1399999999999997E-2"/>
    <n v="2100000"/>
    <s v="2.1m"/>
    <n v="3300000000"/>
    <s v="3.3b"/>
    <x v="7"/>
    <n v="3.0567685589519651"/>
    <n v="16.666666666666664"/>
    <n v="48.034934497816593"/>
    <n v="2.6200873362445416E-5"/>
    <n v="1833333.3333333333"/>
  </r>
  <r>
    <n v="53"/>
    <x v="52"/>
    <n v="83"/>
    <n v="260"/>
    <s v="0.26k"/>
    <n v="68400000"/>
    <s v="68.4m"/>
    <n v="1600000"/>
    <s v="1.6m"/>
    <n v="2.23E-2"/>
    <n v="1500000"/>
    <s v="1.5m"/>
    <n v="419000000"/>
    <s v="419.0m"/>
    <x v="7"/>
    <n v="2.1929824561403506"/>
    <n v="-6.25"/>
    <n v="6.1257309941520468"/>
    <n v="3.8011695906432747E-6"/>
    <n v="1611538.4615384615"/>
  </r>
  <r>
    <n v="54"/>
    <x v="53"/>
    <n v="77"/>
    <n v="1200"/>
    <s v="1.2k"/>
    <n v="67700000"/>
    <s v="67.7m"/>
    <n v="5400000"/>
    <s v="5.4m"/>
    <n v="0.10829999999999999"/>
    <n v="7300000"/>
    <s v="7.3m"/>
    <n v="6600000000"/>
    <s v="6.6b"/>
    <x v="2"/>
    <n v="10.782865583456426"/>
    <n v="35.185185185185183"/>
    <n v="97.488921713441655"/>
    <n v="1.7725258493353029E-5"/>
    <n v="5500000"/>
  </r>
  <r>
    <n v="55"/>
    <x v="54"/>
    <n v="78"/>
    <n v="2900"/>
    <s v="2.9k"/>
    <n v="67700000"/>
    <s v="67.7m"/>
    <n v="872900"/>
    <s v="872.9k"/>
    <n v="4.8999999999999998E-3"/>
    <n v="325700"/>
    <s v="325.7k"/>
    <n v="2600000000"/>
    <s v="2.6b"/>
    <x v="4"/>
    <n v="0.48109305760709009"/>
    <n v="-62.687593080536139"/>
    <n v="38.404726735598224"/>
    <n v="4.2836041358936486E-5"/>
    <n v="896551.72413793101"/>
  </r>
  <r>
    <n v="56"/>
    <x v="55"/>
    <n v="87"/>
    <n v="340"/>
    <s v="0.34k"/>
    <n v="67300000"/>
    <s v="67.3m"/>
    <n v="1900000"/>
    <s v="1.9m"/>
    <n v="1E-4"/>
    <n v="0"/>
    <n v="0"/>
    <n v="639000000"/>
    <s v="639.0m"/>
    <x v="1"/>
    <n v="0"/>
    <n v="-100"/>
    <n v="9.4947994056463596"/>
    <n v="5.0520059435364041E-6"/>
    <n v="1879411.7647058824"/>
  </r>
  <r>
    <n v="57"/>
    <x v="56"/>
    <n v="78"/>
    <n v="1200"/>
    <s v="1.2k"/>
    <n v="66900000.000000007"/>
    <s v="66.9m"/>
    <n v="4099999.9999999995"/>
    <s v="4.1m"/>
    <n v="5.3999999999999999E-2"/>
    <n v="3600000"/>
    <s v="3.6m"/>
    <n v="4900000000"/>
    <s v="4.9b"/>
    <x v="8"/>
    <n v="5.3811659192825108"/>
    <n v="-12.195121951219502"/>
    <n v="73.243647234678619"/>
    <n v="1.7937219730941702E-5"/>
    <n v="4083333.3333333335"/>
  </r>
  <r>
    <n v="58"/>
    <x v="57"/>
    <n v="85"/>
    <n v="1000"/>
    <s v="1.0k"/>
    <n v="66300000"/>
    <s v="66.3m"/>
    <n v="1700000"/>
    <s v="1.7m"/>
    <n v="2.2499999999999999E-2"/>
    <n v="1500000"/>
    <s v="1.5m"/>
    <n v="1700000000"/>
    <s v="1.7b"/>
    <x v="7"/>
    <n v="2.2624434389140271"/>
    <n v="-11.76470588235294"/>
    <n v="25.641025641025642"/>
    <n v="1.5082956259426848E-5"/>
    <n v="1700000"/>
  </r>
  <r>
    <n v="59"/>
    <x v="58"/>
    <n v="82"/>
    <n v="7000"/>
    <s v="7.0k"/>
    <n v="66200000"/>
    <s v="66.2m"/>
    <n v="332300"/>
    <s v="332.3k"/>
    <n v="5.1000000000000004E-3"/>
    <n v="339000"/>
    <s v="339.0k"/>
    <n v="2300000000"/>
    <s v="2.3b"/>
    <x v="9"/>
    <n v="0.51208459214501512"/>
    <n v="2.016250376166115"/>
    <n v="34.743202416918429"/>
    <n v="1.0574018126888218E-4"/>
    <n v="328571.42857142858"/>
  </r>
  <r>
    <n v="60"/>
    <x v="59"/>
    <n v="87"/>
    <n v="780"/>
    <s v="0.78k"/>
    <n v="65900000.000000007"/>
    <s v="65.9m"/>
    <n v="600400"/>
    <s v="600.4k"/>
    <n v="3.0000000000000001E-3"/>
    <n v="189400"/>
    <s v="189.4k"/>
    <n v="470700000"/>
    <s v="470.7m"/>
    <x v="1"/>
    <n v="0.28740515933232169"/>
    <n v="-68.454363757495003"/>
    <n v="7.1426403641881633"/>
    <n v="1.1836115326251895E-5"/>
    <n v="603461.5384615385"/>
  </r>
  <r>
    <n v="61"/>
    <x v="60"/>
    <n v="77"/>
    <n v="2900"/>
    <s v="2.9k"/>
    <n v="65000000"/>
    <s v="65.0m"/>
    <n v="1900000"/>
    <s v="1.9m"/>
    <n v="2.1899999999999999E-2"/>
    <n v="1400000"/>
    <s v="1.4m"/>
    <n v="5400000000"/>
    <s v="5.4b"/>
    <x v="1"/>
    <n v="2.1538461538461537"/>
    <n v="-26.315789473684209"/>
    <n v="83.07692307692308"/>
    <n v="4.4615384615384618E-5"/>
    <n v="1862068.9655172413"/>
  </r>
  <r>
    <n v="62"/>
    <x v="61"/>
    <n v="82"/>
    <n v="1400"/>
    <s v="1.4k"/>
    <n v="63900000"/>
    <s v="63.9m"/>
    <n v="1400000"/>
    <s v="1.4m"/>
    <n v="2.0000000000000001E-4"/>
    <n v="0"/>
    <n v="0"/>
    <n v="1900000000"/>
    <s v="1.9b"/>
    <x v="1"/>
    <n v="0"/>
    <n v="-100"/>
    <n v="29.733959311424101"/>
    <n v="2.1909233176838809E-5"/>
    <n v="1357142.857142857"/>
  </r>
  <r>
    <n v="63"/>
    <x v="62"/>
    <n v="83"/>
    <n v="17500"/>
    <s v="17.5k"/>
    <n v="63500000"/>
    <s v="63.5m"/>
    <n v="386900"/>
    <s v="386.9k"/>
    <n v="5.7999999999999996E-3"/>
    <n v="366600"/>
    <s v="366.6k"/>
    <n v="6800000000"/>
    <s v="6.8b"/>
    <x v="10"/>
    <n v="0.57732283464566936"/>
    <n v="-5.2468338071853191"/>
    <n v="107.08661417322834"/>
    <n v="2.7559055118110237E-4"/>
    <n v="388571.42857142858"/>
  </r>
  <r>
    <n v="64"/>
    <x v="63"/>
    <n v="82"/>
    <n v="5100"/>
    <s v="5.1k"/>
    <n v="63100000"/>
    <s v="63.1m"/>
    <n v="855500"/>
    <s v="855.5k"/>
    <n v="6.8999999999999999E-3"/>
    <n v="426200"/>
    <s v="426.2k"/>
    <n v="4400000000"/>
    <s v="4.4b"/>
    <x v="1"/>
    <n v="0.67543581616481774"/>
    <n v="-50.181180596142603"/>
    <n v="69.73058637083993"/>
    <n v="8.0824088748019022E-5"/>
    <n v="862745.09803921566"/>
  </r>
  <r>
    <n v="65"/>
    <x v="64"/>
    <n v="82"/>
    <n v="830"/>
    <s v="0.83k"/>
    <n v="62900000"/>
    <s v="62.9m"/>
    <n v="4500000"/>
    <s v="4.5m"/>
    <n v="9.4299999999999995E-2"/>
    <n v="5900000"/>
    <s v="5.9m"/>
    <n v="3800000000"/>
    <s v="3.8b"/>
    <x v="2"/>
    <n v="9.3799682034976151"/>
    <n v="31.111111111111111"/>
    <n v="60.413354531001588"/>
    <n v="1.3195548489666137E-5"/>
    <n v="4578313.2530120481"/>
  </r>
  <r>
    <n v="66"/>
    <x v="65"/>
    <n v="84"/>
    <n v="8200"/>
    <s v="8.2k"/>
    <n v="62800000"/>
    <s v="62.8m"/>
    <n v="1200000"/>
    <s v="1.2m"/>
    <n v="1.12E-2"/>
    <n v="696300"/>
    <s v="696.3k"/>
    <n v="9800000000"/>
    <s v="9.8b"/>
    <x v="11"/>
    <n v="1.1087579617834395"/>
    <n v="-41.975000000000001"/>
    <n v="156.05095541401275"/>
    <n v="1.3057324840764332E-4"/>
    <n v="1195121.9512195121"/>
  </r>
  <r>
    <n v="67"/>
    <x v="66"/>
    <n v="85"/>
    <n v="1900"/>
    <s v="1.9k"/>
    <n v="62800000"/>
    <s v="62.8m"/>
    <n v="1500000"/>
    <s v="1.5m"/>
    <n v="1.01E-2"/>
    <n v="624900"/>
    <s v="624.9k"/>
    <n v="2900000000"/>
    <s v="2.9b"/>
    <x v="2"/>
    <n v="0.99506369426751595"/>
    <n v="-58.34"/>
    <n v="46.178343949044589"/>
    <n v="3.0254777070063693E-5"/>
    <n v="1526315.7894736843"/>
  </r>
  <r>
    <n v="68"/>
    <x v="67"/>
    <n v="85"/>
    <n v="2400"/>
    <s v="2.4k"/>
    <n v="62700000"/>
    <s v="62.7m"/>
    <n v="1100000"/>
    <s v="1.1m"/>
    <n v="1.15E-2"/>
    <n v="718800"/>
    <s v="718.8k"/>
    <n v="2800000000"/>
    <s v="2.8b"/>
    <x v="7"/>
    <n v="1.1464114832535885"/>
    <n v="-34.654545454545456"/>
    <n v="44.657097288676233"/>
    <n v="3.8277511961722486E-5"/>
    <n v="1166666.6666666667"/>
  </r>
  <r>
    <n v="69"/>
    <x v="68"/>
    <n v="86"/>
    <n v="10000"/>
    <s v="10.0k"/>
    <n v="61900000"/>
    <s v="61.9m"/>
    <n v="500500"/>
    <s v="500.5k"/>
    <n v="5.1999999999999998E-3"/>
    <n v="322200"/>
    <s v="322.2k"/>
    <n v="5000000000"/>
    <s v="5.0b"/>
    <x v="12"/>
    <n v="0.52051696284329563"/>
    <n v="-35.624375624375624"/>
    <n v="80.775444264943459"/>
    <n v="1.6155088852988692E-4"/>
    <n v="500000"/>
  </r>
  <r>
    <n v="70"/>
    <x v="69"/>
    <n v="82"/>
    <n v="820"/>
    <s v="0.82k"/>
    <n v="61800000"/>
    <s v="61.8m"/>
    <n v="4600000"/>
    <s v="4.6m"/>
    <n v="9.7199999999999995E-2"/>
    <n v="6000000"/>
    <s v="6.0m"/>
    <n v="3800000000"/>
    <s v="3.8b"/>
    <x v="2"/>
    <n v="9.7087378640776691"/>
    <n v="30.434782608695656"/>
    <n v="61.488673139158578"/>
    <n v="1.3268608414239483E-5"/>
    <n v="4634146.341463415"/>
  </r>
  <r>
    <n v="71"/>
    <x v="70"/>
    <n v="85"/>
    <n v="9900"/>
    <s v="9.9k"/>
    <n v="59600000"/>
    <s v="59.6m"/>
    <n v="381800"/>
    <s v="381.8k"/>
    <n v="4.1000000000000003E-3"/>
    <n v="241600"/>
    <s v="241.6k"/>
    <n v="3800000000"/>
    <s v="3.8b"/>
    <x v="6"/>
    <n v="0.4053691275167785"/>
    <n v="-36.720796228391826"/>
    <n v="63.758389261744966"/>
    <n v="1.6610738255033557E-4"/>
    <n v="383838.38383838383"/>
  </r>
  <r>
    <n v="72"/>
    <x v="71"/>
    <n v="85"/>
    <n v="1200"/>
    <s v="1.2k"/>
    <n v="59500000"/>
    <s v="59.5m"/>
    <n v="1900000"/>
    <s v="1.9m"/>
    <n v="2.3400000000000001E-2"/>
    <n v="1400000"/>
    <s v="1.4m"/>
    <n v="2200000000"/>
    <s v="2.2b"/>
    <x v="2"/>
    <n v="2.3529411764705883"/>
    <n v="-26.315789473684209"/>
    <n v="36.974789915966383"/>
    <n v="2.0168067226890756E-5"/>
    <n v="1833333.3333333333"/>
  </r>
  <r>
    <n v="73"/>
    <x v="72"/>
    <n v="79"/>
    <n v="2700"/>
    <s v="2.7k"/>
    <n v="58700000"/>
    <s v="58.7m"/>
    <n v="1600000"/>
    <s v="1.6m"/>
    <n v="5.7999999999999996E-3"/>
    <n v="323100"/>
    <s v="323.1k"/>
    <n v="4400000000"/>
    <s v="4.4b"/>
    <x v="4"/>
    <n v="0.55042589437819422"/>
    <n v="-79.806250000000006"/>
    <n v="74.957410562180584"/>
    <n v="4.5996592844974445E-5"/>
    <n v="1629629.6296296297"/>
  </r>
  <r>
    <n v="74"/>
    <x v="73"/>
    <n v="86"/>
    <n v="10000"/>
    <s v="10.0k"/>
    <n v="58100000"/>
    <s v="58.1m"/>
    <n v="672600"/>
    <s v="672.6k"/>
    <n v="4.4000000000000003E-3"/>
    <n v="248600"/>
    <s v="248.6k"/>
    <n v="6700000000"/>
    <s v="6.7b"/>
    <x v="1"/>
    <n v="0.42788296041308094"/>
    <n v="-63.038953315492122"/>
    <n v="115.3184165232358"/>
    <n v="1.7211703958691912E-4"/>
    <n v="670000"/>
  </r>
  <r>
    <n v="75"/>
    <x v="74"/>
    <n v="86"/>
    <n v="2700"/>
    <s v="2.7k"/>
    <n v="58100000"/>
    <s v="58.1m"/>
    <n v="690900"/>
    <s v="690.9k"/>
    <n v="7.7999999999999996E-3"/>
    <n v="448300"/>
    <s v="448.3k"/>
    <n v="1900000000"/>
    <s v="1.9b"/>
    <x v="4"/>
    <n v="0.77160068846815832"/>
    <n v="-35.113619916051526"/>
    <n v="32.702237521514633"/>
    <n v="4.647160068846816E-5"/>
    <n v="703703.70370370371"/>
  </r>
  <r>
    <n v="76"/>
    <x v="75"/>
    <n v="80"/>
    <n v="280"/>
    <s v="0.28k"/>
    <n v="57600000"/>
    <s v="57.6m"/>
    <n v="4000000"/>
    <s v="4.0m"/>
    <n v="8.6300000000000002E-2"/>
    <n v="5000000"/>
    <s v="5.0m"/>
    <n v="1100000000"/>
    <s v="1.1b"/>
    <x v="1"/>
    <n v="8.6805555555555554"/>
    <n v="25"/>
    <n v="19.097222222222221"/>
    <n v="4.8611111111111113E-6"/>
    <n v="3928571.4285714286"/>
  </r>
  <r>
    <n v="77"/>
    <x v="76"/>
    <n v="42"/>
    <n v="2000"/>
    <s v="2.0k"/>
    <n v="56900000"/>
    <s v="56.9m"/>
    <n v="878500"/>
    <s v="878.5k"/>
    <n v="1.6199999999999999E-2"/>
    <n v="918900"/>
    <s v="918.9k"/>
    <n v="1800000000"/>
    <s v="1.8b"/>
    <x v="0"/>
    <n v="1.6149384885764499"/>
    <n v="4.5987478656801368"/>
    <n v="31.63444639718805"/>
    <n v="3.51493848857645E-5"/>
    <n v="900000"/>
  </r>
  <r>
    <n v="78"/>
    <x v="77"/>
    <n v="86"/>
    <n v="880"/>
    <s v="0.88k"/>
    <n v="55900000"/>
    <s v="55.9m"/>
    <n v="2800000"/>
    <s v="2.8m"/>
    <n v="3.6900000000000002E-2"/>
    <n v="2100000"/>
    <s v="2.1m"/>
    <n v="2500000000"/>
    <s v="2.5b"/>
    <x v="13"/>
    <n v="3.7567084078711988"/>
    <n v="-25"/>
    <n v="44.722719141323793"/>
    <n v="1.5742397137745974E-5"/>
    <n v="2840909.0909090908"/>
  </r>
  <r>
    <n v="79"/>
    <x v="78"/>
    <n v="83"/>
    <n v="3300"/>
    <s v="3.3k"/>
    <n v="55600000"/>
    <s v="55.6m"/>
    <n v="3100000"/>
    <s v="3.1m"/>
    <n v="0.10249999999999999"/>
    <n v="5700000"/>
    <s v="5.7m"/>
    <n v="10100000000"/>
    <s v="10.1b"/>
    <x v="7"/>
    <n v="10.251798561151078"/>
    <n v="83.870967741935488"/>
    <n v="181.65467625899279"/>
    <n v="5.9352517985611513E-5"/>
    <n v="3060606.0606060605"/>
  </r>
  <r>
    <n v="80"/>
    <x v="79"/>
    <n v="80"/>
    <n v="1300"/>
    <s v="1.3k"/>
    <n v="55200000"/>
    <s v="55.2m"/>
    <n v="1400000"/>
    <s v="1.4m"/>
    <n v="8.5000000000000006E-3"/>
    <n v="462600"/>
    <s v="462.6k"/>
    <n v="1800000000"/>
    <s v="1.8b"/>
    <x v="12"/>
    <n v="0.83804347826086956"/>
    <n v="-66.957142857142856"/>
    <n v="32.608695652173914"/>
    <n v="2.3550724637681158E-5"/>
    <n v="1384615.3846153845"/>
  </r>
  <r>
    <n v="81"/>
    <x v="80"/>
    <n v="86"/>
    <n v="870"/>
    <s v="0.87k"/>
    <n v="55100000"/>
    <s v="55.1m"/>
    <n v="1500000"/>
    <s v="1.5m"/>
    <n v="1.5299999999999999E-2"/>
    <n v="837100"/>
    <s v="837.1k"/>
    <n v="1300000000"/>
    <s v="1.3b"/>
    <x v="2"/>
    <n v="1.5192377495462797"/>
    <n v="-44.193333333333335"/>
    <n v="23.593466424682397"/>
    <n v="1.5789473684210526E-5"/>
    <n v="1494252.8735632184"/>
  </r>
  <r>
    <n v="82"/>
    <x v="81"/>
    <n v="86"/>
    <n v="1700"/>
    <s v="1.7k"/>
    <n v="54600000"/>
    <s v="54.6m"/>
    <n v="395500"/>
    <s v="395.5k"/>
    <n v="2E-3"/>
    <n v="107600"/>
    <s v="107.6k"/>
    <n v="669300000"/>
    <s v="669.3m"/>
    <x v="2"/>
    <n v="0.19706959706959709"/>
    <n v="-72.793931731984827"/>
    <n v="12.258241758241759"/>
    <n v="3.1135531135531138E-5"/>
    <n v="393705.8823529412"/>
  </r>
  <r>
    <n v="83"/>
    <x v="82"/>
    <n v="87"/>
    <n v="10000"/>
    <s v="10.0k"/>
    <n v="54500000"/>
    <s v="54.5m"/>
    <n v="194800"/>
    <s v="194.8k"/>
    <n v="2.5000000000000001E-3"/>
    <n v="135500"/>
    <s v="135.5k"/>
    <n v="1900000000"/>
    <s v="1.9b"/>
    <x v="2"/>
    <n v="0.24862385321100916"/>
    <n v="-30.441478439425051"/>
    <n v="34.862385321100916"/>
    <n v="1.8348623853211009E-4"/>
    <n v="190000"/>
  </r>
  <r>
    <n v="84"/>
    <x v="83"/>
    <n v="86"/>
    <n v="660"/>
    <s v="0.66k"/>
    <n v="54500000"/>
    <s v="54.5m"/>
    <n v="2300000"/>
    <s v="2.3m"/>
    <n v="8.1799999999999998E-2"/>
    <n v="4400000"/>
    <s v="4.4m"/>
    <n v="1500000000"/>
    <s v="1.5b"/>
    <x v="1"/>
    <n v="8.0733944954128454"/>
    <n v="91.304347826086953"/>
    <n v="27.522935779816514"/>
    <n v="1.2110091743119265E-5"/>
    <n v="2272727.2727272729"/>
  </r>
  <r>
    <n v="85"/>
    <x v="84"/>
    <n v="79"/>
    <n v="3200"/>
    <s v="3.2k"/>
    <n v="54100000"/>
    <s v="54.1m"/>
    <n v="1100000"/>
    <s v="1.1m"/>
    <n v="2.06E-2"/>
    <n v="1100000"/>
    <s v="1.1m"/>
    <n v="3600000000"/>
    <s v="3.6b"/>
    <x v="6"/>
    <n v="2.033271719038817"/>
    <n v="0"/>
    <n v="66.543438077634008"/>
    <n v="5.9149722735674678E-5"/>
    <n v="1125000"/>
  </r>
  <r>
    <n v="86"/>
    <x v="85"/>
    <n v="86"/>
    <n v="5600"/>
    <s v="5.6k"/>
    <n v="53900000"/>
    <s v="53.9m"/>
    <n v="959800"/>
    <s v="959.8k"/>
    <n v="5.1000000000000004E-3"/>
    <n v="266500"/>
    <s v="266.5k"/>
    <n v="5400000000"/>
    <s v="5.4b"/>
    <x v="4"/>
    <n v="0.49443413729128016"/>
    <n v="-72.233798708064185"/>
    <n v="100.18552875695732"/>
    <n v="1.038961038961039E-4"/>
    <n v="964285.71428571432"/>
  </r>
  <r>
    <n v="87"/>
    <x v="86"/>
    <n v="76"/>
    <n v="1200"/>
    <s v="1.2k"/>
    <n v="53500000"/>
    <s v="53.5m"/>
    <n v="1400000"/>
    <s v="1.4m"/>
    <n v="1.3299999999999999E-2"/>
    <n v="693900"/>
    <s v="693.9k"/>
    <n v="1600000000"/>
    <s v="1.6b"/>
    <x v="7"/>
    <n v="1.2970093457943925"/>
    <n v="-50.435714285714283"/>
    <n v="29.906542056074766"/>
    <n v="2.2429906542056075E-5"/>
    <n v="1333333.3333333333"/>
  </r>
  <r>
    <n v="88"/>
    <x v="87"/>
    <n v="86"/>
    <n v="420"/>
    <s v="0.42k"/>
    <n v="53400000"/>
    <s v="53.4m"/>
    <n v="3000000"/>
    <s v="3.0m"/>
    <n v="2.0500000000000001E-2"/>
    <n v="1100000"/>
    <s v="1.1m"/>
    <n v="1300000000"/>
    <s v="1.3b"/>
    <x v="1"/>
    <n v="2.0599250936329585"/>
    <n v="-63.333333333333329"/>
    <n v="24.344569288389515"/>
    <n v="7.8651685393258434E-6"/>
    <n v="3095238.0952380951"/>
  </r>
  <r>
    <n v="89"/>
    <x v="88"/>
    <n v="84"/>
    <n v="4600"/>
    <s v="4.6k"/>
    <n v="53400000"/>
    <s v="53.4m"/>
    <n v="764000"/>
    <s v="764.0k"/>
    <n v="5.7000000000000002E-3"/>
    <n v="301300"/>
    <s v="301.3k"/>
    <n v="3500000000"/>
    <s v="3.5b"/>
    <x v="2"/>
    <n v="0.56423220973782773"/>
    <n v="-60.562827225130889"/>
    <n v="65.543071161048687"/>
    <n v="8.6142322097378272E-5"/>
    <n v="760869.56521739135"/>
  </r>
  <r>
    <n v="90"/>
    <x v="89"/>
    <n v="83"/>
    <n v="3600"/>
    <s v="3.6k"/>
    <n v="53200000"/>
    <s v="53.2m"/>
    <n v="1400000"/>
    <s v="1.4m"/>
    <n v="1.0200000000000001E-2"/>
    <n v="531600"/>
    <s v="531.6k"/>
    <n v="5100000000"/>
    <s v="5.1b"/>
    <x v="1"/>
    <n v="0.99924812030075183"/>
    <n v="-62.028571428571432"/>
    <n v="95.864661654135332"/>
    <n v="6.7669172932330828E-5"/>
    <n v="1416666.6666666667"/>
  </r>
  <r>
    <n v="91"/>
    <x v="90"/>
    <n v="74"/>
    <n v="2100"/>
    <s v="2.1k"/>
    <n v="53000000"/>
    <s v="53.0m"/>
    <n v="1600000"/>
    <s v="1.6m"/>
    <n v="1.8499999999999999E-2"/>
    <n v="971700"/>
    <s v="971.7k"/>
    <n v="3400000000"/>
    <s v="3.4b"/>
    <x v="1"/>
    <n v="1.8333962264150943"/>
    <n v="-39.268750000000004"/>
    <n v="64.15094339622641"/>
    <n v="3.9622641509433961E-5"/>
    <n v="1619047.6190476189"/>
  </r>
  <r>
    <n v="92"/>
    <x v="91"/>
    <n v="87"/>
    <n v="2200"/>
    <s v="2.2k"/>
    <n v="52800000"/>
    <s v="52.8m"/>
    <n v="1100000"/>
    <s v="1.1m"/>
    <n v="1.06E-2"/>
    <n v="557900"/>
    <s v="557.9k"/>
    <n v="2500000000"/>
    <s v="2.5b"/>
    <x v="2"/>
    <n v="1.0566287878787879"/>
    <n v="-49.281818181818181"/>
    <n v="47.348484848484851"/>
    <n v="4.1666666666666665E-5"/>
    <n v="1136363.6363636365"/>
  </r>
  <r>
    <n v="93"/>
    <x v="92"/>
    <n v="87"/>
    <n v="10000"/>
    <s v="10.0k"/>
    <n v="52800000"/>
    <s v="52.8m"/>
    <n v="878000"/>
    <s v="878.0k"/>
    <n v="6.6E-3"/>
    <n v="340500"/>
    <s v="340.5k"/>
    <n v="8800000000"/>
    <s v="8.8b"/>
    <x v="2"/>
    <n v="0.64488636363636365"/>
    <n v="-61.218678815489746"/>
    <n v="166.66666666666666"/>
    <n v="1.8939393939393939E-4"/>
    <n v="880000"/>
  </r>
  <r>
    <n v="94"/>
    <x v="93"/>
    <n v="22"/>
    <n v="840"/>
    <s v="0.84k"/>
    <n v="52500000"/>
    <s v="52.5m"/>
    <n v="1800000"/>
    <s v="1.8m"/>
    <n v="2.18E-2"/>
    <n v="1100000"/>
    <s v="1.1m"/>
    <n v="1500000000"/>
    <s v="1.5b"/>
    <x v="2"/>
    <n v="2.0952380952380953"/>
    <n v="-38.888888888888893"/>
    <n v="28.571428571428573"/>
    <n v="1.5999999999999999E-5"/>
    <n v="1785714.2857142857"/>
  </r>
  <r>
    <n v="95"/>
    <x v="94"/>
    <n v="85"/>
    <n v="10000"/>
    <s v="10.0k"/>
    <n v="52400000"/>
    <s v="52.4m"/>
    <n v="147300"/>
    <s v="147.3k"/>
    <n v="1.1000000000000001E-3"/>
    <n v="56300"/>
    <s v="56.3k"/>
    <n v="1500000000"/>
    <s v="1.5b"/>
    <x v="10"/>
    <n v="0.10744274809160305"/>
    <n v="-61.778682959945684"/>
    <n v="28.625954198473284"/>
    <n v="1.9083969465648855E-4"/>
    <n v="150000"/>
  </r>
  <r>
    <n v="96"/>
    <x v="95"/>
    <n v="79"/>
    <n v="10300"/>
    <s v="10.3k"/>
    <n v="51200000"/>
    <s v="51.2m"/>
    <n v="863200"/>
    <s v="863.2k"/>
    <n v="1.52E-2"/>
    <n v="774200"/>
    <s v="774.2k"/>
    <n v="8900000000"/>
    <s v="8.9b"/>
    <x v="5"/>
    <n v="1.5121093750000001"/>
    <n v="-10.31047265987025"/>
    <n v="173.828125"/>
    <n v="2.0117187499999999E-4"/>
    <n v="864077.66990291257"/>
  </r>
  <r>
    <n v="97"/>
    <x v="96"/>
    <n v="82"/>
    <n v="2400"/>
    <s v="2.4k"/>
    <n v="50800000"/>
    <s v="50.8m"/>
    <n v="186400"/>
    <s v="186.4k"/>
    <n v="4.0000000000000002E-4"/>
    <n v="16800"/>
    <s v="16.8k"/>
    <n v="453600000"/>
    <s v="453.6m"/>
    <x v="1"/>
    <n v="3.3070866141732283E-2"/>
    <n v="-90.987124463519308"/>
    <n v="8.9291338582677167"/>
    <n v="4.7244094488188978E-5"/>
    <n v="189000"/>
  </r>
  <r>
    <n v="98"/>
    <x v="97"/>
    <n v="84"/>
    <n v="420"/>
    <s v="0.42k"/>
    <n v="50700000"/>
    <s v="50.7m"/>
    <n v="4700000"/>
    <s v="4.7m"/>
    <n v="3.8199999999999998E-2"/>
    <n v="1900000"/>
    <s v="1.9m"/>
    <n v="2000000000"/>
    <s v="2.0b"/>
    <x v="1"/>
    <n v="3.7475345167652856"/>
    <n v="-59.574468085106382"/>
    <n v="39.447731755424066"/>
    <n v="8.2840236686390539E-6"/>
    <n v="4761904.7619047621"/>
  </r>
  <r>
    <n v="99"/>
    <x v="98"/>
    <n v="85"/>
    <n v="600"/>
    <s v="0.60k"/>
    <n v="50700000"/>
    <s v="50.7m"/>
    <n v="700500"/>
    <s v="700.5k"/>
    <n v="1.2200000000000001E-2"/>
    <n v="611200"/>
    <s v="611.2k"/>
    <n v="421700000"/>
    <s v="421.7m"/>
    <x v="2"/>
    <n v="1.2055226824457592"/>
    <n v="-12.748037116345468"/>
    <n v="8.3175542406311642"/>
    <n v="1.1834319526627219E-5"/>
    <n v="702833.33333333337"/>
  </r>
  <r>
    <n v="100"/>
    <x v="99"/>
    <n v="76"/>
    <n v="2700"/>
    <s v="2.7k"/>
    <n v="50200000"/>
    <s v="50.2m"/>
    <n v="897200"/>
    <s v="897.2k"/>
    <n v="1.21E-2"/>
    <n v="604400"/>
    <s v="604.4k"/>
    <n v="2400000000"/>
    <s v="2.4b"/>
    <x v="7"/>
    <n v="1.2039840637450201"/>
    <n v="-32.634864021399913"/>
    <n v="47.808764940239044"/>
    <n v="5.3784860557768924E-5"/>
    <n v="888888.88888888888"/>
  </r>
  <r>
    <n v="101"/>
    <x v="100"/>
    <n v="86"/>
    <n v="1100"/>
    <s v="1.1k"/>
    <n v="49900000"/>
    <s v="49.9m"/>
    <n v="1400000"/>
    <s v="1.4m"/>
    <n v="7.4999999999999997E-3"/>
    <n v="363900"/>
    <s v="363.9k"/>
    <n v="1500000000"/>
    <s v="1.5b"/>
    <x v="11"/>
    <n v="0.72925851703406819"/>
    <n v="-74.007142857142867"/>
    <n v="30.060120240480963"/>
    <n v="2.2044088176352705E-5"/>
    <n v="1363636.3636363635"/>
  </r>
  <r>
    <n v="102"/>
    <x v="101"/>
    <n v="80"/>
    <n v="6400"/>
    <s v="6.4k"/>
    <n v="49700000"/>
    <s v="49.7m"/>
    <n v="356800"/>
    <s v="356.8k"/>
    <n v="9.1000000000000004E-3"/>
    <n v="452900"/>
    <s v="452.9k"/>
    <n v="2300000000"/>
    <s v="2.3b"/>
    <x v="1"/>
    <n v="0.91126760563380282"/>
    <n v="26.933856502242154"/>
    <n v="46.277665995975852"/>
    <n v="1.2877263581488932E-4"/>
    <n v="359375"/>
  </r>
  <r>
    <n v="103"/>
    <x v="102"/>
    <n v="83"/>
    <n v="60"/>
    <s v="0.06k"/>
    <n v="49300000"/>
    <s v="49.3m"/>
    <n v="15400000"/>
    <s v="15.4m"/>
    <n v="0.25800000000000001"/>
    <n v="12600000"/>
    <s v="12.6m"/>
    <n v="987400000"/>
    <s v="987.4m"/>
    <x v="2"/>
    <n v="25.557809330628807"/>
    <n v="-18.181818181818183"/>
    <n v="20.028397565922919"/>
    <n v="1.2170385395537525E-6"/>
    <n v="16456666.666666666"/>
  </r>
  <r>
    <n v="104"/>
    <x v="103"/>
    <n v="81"/>
    <n v="2500"/>
    <s v="2.5k"/>
    <n v="49200000"/>
    <s v="49.2m"/>
    <n v="2400000"/>
    <s v="2.4m"/>
    <n v="3.5499999999999997E-2"/>
    <n v="1700000"/>
    <s v="1.7m"/>
    <n v="6100000000"/>
    <s v="6.1b"/>
    <x v="1"/>
    <n v="3.4552845528455287"/>
    <n v="-29.166666666666668"/>
    <n v="123.98373983739837"/>
    <n v="5.0813008130081301E-5"/>
    <n v="2440000"/>
  </r>
  <r>
    <n v="105"/>
    <x v="104"/>
    <n v="80"/>
    <n v="150"/>
    <s v="0.15k"/>
    <n v="49100000"/>
    <s v="49.1m"/>
    <n v="4200000"/>
    <s v="4.2m"/>
    <n v="3.2800000000000003E-2"/>
    <n v="1600000"/>
    <s v="1.6m"/>
    <n v="654400000"/>
    <s v="654.4m"/>
    <x v="2"/>
    <n v="3.2586558044806515"/>
    <n v="-61.904761904761905"/>
    <n v="13.327902240325866"/>
    <n v="3.0549898167006109E-6"/>
    <n v="4362666.666666667"/>
  </r>
  <r>
    <n v="106"/>
    <x v="105"/>
    <n v="86"/>
    <n v="8900"/>
    <s v="8.9k"/>
    <n v="49000000"/>
    <s v="49.0m"/>
    <n v="115100"/>
    <s v="115.1k"/>
    <n v="1.5E-3"/>
    <n v="72400"/>
    <s v="72.4k"/>
    <n v="1000000000"/>
    <s v="1.0b"/>
    <x v="14"/>
    <n v="0.14775510204081632"/>
    <n v="-37.098175499565592"/>
    <n v="20.408163265306122"/>
    <n v="1.8163265306122449E-4"/>
    <n v="112359.55056179775"/>
  </r>
  <r>
    <n v="107"/>
    <x v="106"/>
    <n v="84"/>
    <n v="6500"/>
    <s v="6.5k"/>
    <n v="48900000"/>
    <s v="48.9m"/>
    <n v="372400"/>
    <s v="372.4k"/>
    <n v="2.7000000000000001E-3"/>
    <n v="131800"/>
    <s v="131.8k"/>
    <n v="2400000000"/>
    <s v="2.4b"/>
    <x v="10"/>
    <n v="0.26952965235173826"/>
    <n v="-64.607948442534919"/>
    <n v="49.079754601226995"/>
    <n v="1.329243353783231E-4"/>
    <n v="369230.76923076925"/>
  </r>
  <r>
    <n v="108"/>
    <x v="107"/>
    <n v="82"/>
    <n v="6500"/>
    <s v="6.5k"/>
    <n v="48700000"/>
    <s v="48.7m"/>
    <n v="127500"/>
    <s v="127.5k"/>
    <n v="8.0000000000000004E-4"/>
    <n v="40500"/>
    <s v="40.5k"/>
    <n v="824000000"/>
    <s v="824.0m"/>
    <x v="12"/>
    <n v="8.3162217659137588E-2"/>
    <n v="-68.235294117647058"/>
    <n v="16.919917864476385"/>
    <n v="1.3347022587268994E-4"/>
    <n v="126769.23076923077"/>
  </r>
  <r>
    <n v="109"/>
    <x v="108"/>
    <n v="85"/>
    <n v="1300"/>
    <s v="1.3k"/>
    <n v="48300000"/>
    <s v="48.3m"/>
    <n v="1800000"/>
    <s v="1.8m"/>
    <n v="2.8799999999999999E-2"/>
    <n v="1400000"/>
    <s v="1.4m"/>
    <n v="2300000000"/>
    <s v="2.3b"/>
    <x v="2"/>
    <n v="2.8985507246376812"/>
    <n v="-22.222222222222221"/>
    <n v="47.61904761904762"/>
    <n v="2.691511387163561E-5"/>
    <n v="1769230.7692307692"/>
  </r>
  <r>
    <n v="110"/>
    <x v="109"/>
    <n v="85"/>
    <n v="1400"/>
    <s v="1.4k"/>
    <n v="48200000"/>
    <s v="48.2m"/>
    <n v="2100000"/>
    <s v="2.1m"/>
    <n v="2.7699999999999999E-2"/>
    <n v="1300000"/>
    <s v="1.3m"/>
    <n v="3000000000"/>
    <s v="3.0b"/>
    <x v="2"/>
    <n v="2.6970954356846475"/>
    <n v="-38.095238095238095"/>
    <n v="62.240663900414937"/>
    <n v="2.9045643153526971E-5"/>
    <n v="2142857.1428571427"/>
  </r>
  <r>
    <n v="111"/>
    <x v="110"/>
    <n v="85"/>
    <n v="170"/>
    <s v="0.17k"/>
    <n v="48200000"/>
    <s v="48.2m"/>
    <n v="1600000"/>
    <s v="1.6m"/>
    <n v="1.7500000000000002E-2"/>
    <n v="841400"/>
    <s v="841.4k"/>
    <n v="283000000"/>
    <s v="283.0m"/>
    <x v="1"/>
    <n v="1.7456431535269707"/>
    <n v="-47.412500000000001"/>
    <n v="5.8713692946058087"/>
    <n v="3.5269709543568467E-6"/>
    <n v="1664705.8823529412"/>
  </r>
  <r>
    <n v="112"/>
    <x v="111"/>
    <n v="86"/>
    <n v="980"/>
    <s v="0.98k"/>
    <n v="48100000"/>
    <s v="48.1m"/>
    <n v="763000"/>
    <s v="763.0k"/>
    <n v="1.43E-2"/>
    <n v="681300"/>
    <s v="681.3k"/>
    <n v="753100000"/>
    <s v="753.1m"/>
    <x v="2"/>
    <n v="1.4164241164241165"/>
    <n v="-10.707732634338139"/>
    <n v="15.656964656964657"/>
    <n v="2.0374220374220373E-5"/>
    <n v="768469.38775510201"/>
  </r>
  <r>
    <n v="113"/>
    <x v="112"/>
    <n v="85"/>
    <n v="3500"/>
    <s v="3.5k"/>
    <n v="47700000"/>
    <s v="47.7m"/>
    <n v="452600"/>
    <s v="452.6k"/>
    <n v="4.1000000000000003E-3"/>
    <n v="189600"/>
    <s v="189.6k"/>
    <n v="1600000000"/>
    <s v="1.6b"/>
    <x v="2"/>
    <n v="0.39748427672955977"/>
    <n v="-58.108705258506411"/>
    <n v="33.542976939203356"/>
    <n v="7.3375262054507334E-5"/>
    <n v="457142.85714285716"/>
  </r>
  <r>
    <n v="114"/>
    <x v="113"/>
    <n v="81"/>
    <n v="2300"/>
    <s v="2.3k"/>
    <n v="47300000"/>
    <s v="47.3m"/>
    <n v="728200"/>
    <s v="728.2k"/>
    <n v="2.8999999999999998E-3"/>
    <n v="133000"/>
    <s v="133.0k"/>
    <n v="1700000000"/>
    <s v="1.7b"/>
    <x v="15"/>
    <n v="0.28118393234672306"/>
    <n v="-81.73578687173854"/>
    <n v="35.940803382663844"/>
    <n v="4.8625792811839321E-5"/>
    <n v="739130.43478260865"/>
  </r>
  <r>
    <n v="115"/>
    <x v="114"/>
    <n v="57"/>
    <n v="590"/>
    <s v="0.59k"/>
    <n v="46900000"/>
    <s v="46.9m"/>
    <n v="4700000"/>
    <s v="4.7m"/>
    <n v="6.3799999999999996E-2"/>
    <n v="2900000"/>
    <s v="2.9m"/>
    <n v="2800000000"/>
    <s v="2.8b"/>
    <x v="1"/>
    <n v="6.1833688699360341"/>
    <n v="-38.297872340425535"/>
    <n v="59.701492537313435"/>
    <n v="1.257995735607676E-5"/>
    <n v="4745762.7118644072"/>
  </r>
  <r>
    <n v="116"/>
    <x v="115"/>
    <n v="85"/>
    <n v="2100"/>
    <s v="2.1k"/>
    <n v="46900000"/>
    <s v="46.9m"/>
    <n v="2000000"/>
    <s v="2.0m"/>
    <n v="3.4700000000000002E-2"/>
    <n v="1600000"/>
    <s v="1.6m"/>
    <n v="4200000000"/>
    <s v="4.2b"/>
    <x v="2"/>
    <n v="3.4115138592750531"/>
    <n v="-20"/>
    <n v="89.552238805970148"/>
    <n v="4.4776119402985078E-5"/>
    <n v="2000000"/>
  </r>
  <r>
    <n v="117"/>
    <x v="116"/>
    <n v="84"/>
    <n v="4200"/>
    <s v="4.2k"/>
    <n v="46800000"/>
    <s v="46.8m"/>
    <n v="633900"/>
    <s v="633.9k"/>
    <n v="6.3E-3"/>
    <n v="292900"/>
    <s v="292.9k"/>
    <n v="2700000000"/>
    <s v="2.7b"/>
    <x v="1"/>
    <n v="0.62585470085470085"/>
    <n v="-53.793973812904241"/>
    <n v="57.692307692307693"/>
    <n v="8.9743589743589749E-5"/>
    <n v="642857.14285714284"/>
  </r>
  <r>
    <n v="118"/>
    <x v="117"/>
    <n v="85"/>
    <n v="10000"/>
    <s v="10.0k"/>
    <n v="46500000"/>
    <s v="46.5m"/>
    <n v="157000"/>
    <s v="157.0k"/>
    <n v="2.9999999999999997E-4"/>
    <n v="12400"/>
    <s v="12.4k"/>
    <n v="1600000000"/>
    <s v="1.6b"/>
    <x v="1"/>
    <n v="2.6666666666666668E-2"/>
    <n v="-92.101910828025481"/>
    <n v="34.408602150537632"/>
    <n v="2.1505376344086021E-4"/>
    <n v="160000"/>
  </r>
  <r>
    <n v="119"/>
    <x v="118"/>
    <n v="82"/>
    <n v="160"/>
    <s v="0.16k"/>
    <n v="46500000"/>
    <s v="46.5m"/>
    <n v="4700000"/>
    <s v="4.7m"/>
    <n v="8.8099999999999998E-2"/>
    <n v="4000000"/>
    <s v="4.0m"/>
    <n v="773500000"/>
    <s v="773.5m"/>
    <x v="1"/>
    <n v="8.6021505376344098"/>
    <n v="-14.893617021276595"/>
    <n v="16.634408602150536"/>
    <n v="3.4408602150537635E-6"/>
    <n v="4834375"/>
  </r>
  <r>
    <n v="120"/>
    <x v="119"/>
    <n v="85"/>
    <n v="5200"/>
    <s v="5.2k"/>
    <n v="46500000"/>
    <s v="46.5m"/>
    <n v="579600"/>
    <s v="579.6k"/>
    <n v="5.7000000000000002E-3"/>
    <n v="259399.99999999997"/>
    <s v="259.4k"/>
    <n v="3000000000"/>
    <s v="3.0b"/>
    <x v="4"/>
    <n v="0.5578494623655913"/>
    <n v="-55.244996549344371"/>
    <n v="64.516129032258064"/>
    <n v="1.1182795698924731E-4"/>
    <n v="576923.07692307688"/>
  </r>
  <r>
    <n v="121"/>
    <x v="120"/>
    <n v="78"/>
    <n v="3200"/>
    <s v="3.2k"/>
    <n v="46200000"/>
    <s v="46.2m"/>
    <n v="3000000"/>
    <s v="3.0m"/>
    <n v="5.7099999999999998E-2"/>
    <n v="2600000"/>
    <s v="2.6m"/>
    <n v="9600000000"/>
    <s v="9.6b"/>
    <x v="1"/>
    <n v="5.6277056277056277"/>
    <n v="-13.333333333333334"/>
    <n v="207.79220779220779"/>
    <n v="6.9264069264069259E-5"/>
    <n v="3000000"/>
  </r>
  <r>
    <n v="122"/>
    <x v="121"/>
    <n v="82"/>
    <n v="3200"/>
    <s v="3.2k"/>
    <n v="45900000"/>
    <s v="45.9m"/>
    <n v="1100000"/>
    <s v="1.1m"/>
    <n v="6.8999999999999999E-3"/>
    <n v="311500"/>
    <s v="311.5k"/>
    <n v="3500000000"/>
    <s v="3.5b"/>
    <x v="1"/>
    <n v="0.67864923747276684"/>
    <n v="-71.681818181818187"/>
    <n v="76.252723311546845"/>
    <n v="6.9716775599128536E-5"/>
    <n v="1093750"/>
  </r>
  <r>
    <n v="123"/>
    <x v="122"/>
    <n v="80"/>
    <n v="20"/>
    <s v="0.02k"/>
    <n v="45900000"/>
    <s v="45.9m"/>
    <n v="652500"/>
    <s v="652.5k"/>
    <n v="0.01"/>
    <n v="455300"/>
    <s v="455.3k"/>
    <n v="18300000"/>
    <s v="18.3m"/>
    <x v="16"/>
    <n v="0.99193899782135075"/>
    <n v="-30.222222222222221"/>
    <n v="0.39869281045751637"/>
    <n v="4.3572984749455339E-7"/>
    <n v="915000"/>
  </r>
  <r>
    <n v="124"/>
    <x v="123"/>
    <n v="82"/>
    <n v="16900"/>
    <s v="16.9k"/>
    <n v="45800000"/>
    <s v="45.8m"/>
    <n v="189900"/>
    <s v="189.9k"/>
    <n v="1.1999999999999999E-3"/>
    <n v="52800"/>
    <s v="52.8k"/>
    <n v="3200000000"/>
    <s v="3.2b"/>
    <x v="1"/>
    <n v="0.11528384279475984"/>
    <n v="-72.195892575039494"/>
    <n v="69.86899563318778"/>
    <n v="3.6899563318777294E-4"/>
    <n v="189349.11242603551"/>
  </r>
  <r>
    <n v="125"/>
    <x v="124"/>
    <n v="85"/>
    <n v="1800"/>
    <s v="1.8k"/>
    <n v="45400000"/>
    <s v="45.4m"/>
    <n v="431200"/>
    <s v="431.2k"/>
    <n v="4.4000000000000003E-3"/>
    <n v="199800"/>
    <s v="199.8k"/>
    <n v="784000000"/>
    <s v="784.0m"/>
    <x v="1"/>
    <n v="0.44008810572687224"/>
    <n v="-53.664192949907232"/>
    <n v="17.268722466960352"/>
    <n v="3.9647577092511014E-5"/>
    <n v="435555.55555555556"/>
  </r>
  <r>
    <n v="126"/>
    <x v="125"/>
    <n v="84"/>
    <n v="1100"/>
    <s v="1.1k"/>
    <n v="45400000"/>
    <s v="45.4m"/>
    <n v="1100000"/>
    <s v="1.1m"/>
    <n v="2.76E-2"/>
    <n v="1200000"/>
    <s v="1.2m"/>
    <n v="1200000000"/>
    <s v="1.2b"/>
    <x v="2"/>
    <n v="2.643171806167401"/>
    <n v="9.0909090909090917"/>
    <n v="26.431718061674008"/>
    <n v="2.4229074889867841E-5"/>
    <n v="1090909.0909090908"/>
  </r>
  <r>
    <n v="127"/>
    <x v="126"/>
    <n v="86"/>
    <n v="680"/>
    <s v="0.68k"/>
    <n v="44800000"/>
    <s v="44.8m"/>
    <n v="1400000"/>
    <s v="1.4m"/>
    <n v="2.6100000000000002E-2"/>
    <n v="1200000"/>
    <s v="1.2m"/>
    <n v="925700000"/>
    <s v="925.7m"/>
    <x v="2"/>
    <n v="2.6785714285714284"/>
    <n v="-14.285714285714285"/>
    <n v="20.662946428571427"/>
    <n v="1.5178571428571429E-5"/>
    <n v="1361323.5294117648"/>
  </r>
  <r>
    <n v="128"/>
    <x v="127"/>
    <n v="42"/>
    <n v="1500"/>
    <s v="1.5k"/>
    <n v="44500000"/>
    <s v="44.5m"/>
    <n v="553000"/>
    <s v="553.0k"/>
    <n v="6.7000000000000002E-3"/>
    <n v="294100"/>
    <s v="294.1k"/>
    <n v="820100000"/>
    <s v="820.1m"/>
    <x v="4"/>
    <n v="0.66089887640449441"/>
    <n v="-46.817359855334537"/>
    <n v="18.429213483146068"/>
    <n v="3.3707865168539323E-5"/>
    <n v="546733.33333333337"/>
  </r>
  <r>
    <n v="129"/>
    <x v="128"/>
    <n v="85"/>
    <n v="970"/>
    <s v="0.97k"/>
    <n v="44200000"/>
    <s v="44.2m"/>
    <n v="801800"/>
    <s v="801.8k"/>
    <n v="9.5999999999999992E-3"/>
    <n v="414800"/>
    <s v="414.8k"/>
    <n v="782500000"/>
    <s v="782.5m"/>
    <x v="2"/>
    <n v="0.93846153846153857"/>
    <n v="-48.266400598653028"/>
    <n v="17.703619909502262"/>
    <n v="2.1945701357466062E-5"/>
    <n v="806701.03092783503"/>
  </r>
  <r>
    <n v="130"/>
    <x v="129"/>
    <n v="76"/>
    <n v="4900"/>
    <s v="4.9k"/>
    <n v="43900000"/>
    <s v="43.9m"/>
    <n v="475100"/>
    <s v="475.1k"/>
    <n v="7.1000000000000004E-3"/>
    <n v="303900"/>
    <s v="303.9k"/>
    <n v="2300000000"/>
    <s v="2.3b"/>
    <x v="4"/>
    <n v="0.69225512528473798"/>
    <n v="-36.034519048621341"/>
    <n v="52.391799544419136"/>
    <n v="1.1161731207289294E-4"/>
    <n v="469387.75510204083"/>
  </r>
  <r>
    <n v="131"/>
    <x v="130"/>
    <n v="84"/>
    <n v="1600"/>
    <s v="1.6k"/>
    <n v="43800000"/>
    <s v="43.8m"/>
    <n v="1300000"/>
    <s v="1.3m"/>
    <n v="2.18E-2"/>
    <n v="944300"/>
    <s v="944.3k"/>
    <n v="2200000000"/>
    <s v="2.2b"/>
    <x v="2"/>
    <n v="2.1559360730593604"/>
    <n v="-27.361538461538458"/>
    <n v="50.228310502283108"/>
    <n v="3.6529680365296805E-5"/>
    <n v="1375000"/>
  </r>
  <r>
    <n v="132"/>
    <x v="131"/>
    <n v="84"/>
    <n v="1900"/>
    <s v="1.9k"/>
    <n v="43800000"/>
    <s v="43.8m"/>
    <n v="1100000"/>
    <s v="1.1m"/>
    <n v="1.4800000000000001E-2"/>
    <n v="640500"/>
    <s v="640.5k"/>
    <n v="2000000000"/>
    <s v="2.0b"/>
    <x v="7"/>
    <n v="1.4623287671232876"/>
    <n v="-41.772727272727273"/>
    <n v="45.662100456621005"/>
    <n v="4.3378995433789952E-5"/>
    <n v="1052631.5789473683"/>
  </r>
  <r>
    <n v="133"/>
    <x v="132"/>
    <n v="85"/>
    <n v="580"/>
    <s v="0.58k"/>
    <n v="43700000"/>
    <s v="43.7m"/>
    <n v="1600000"/>
    <s v="1.6m"/>
    <n v="3.8199999999999998E-2"/>
    <n v="1600000"/>
    <s v="1.6m"/>
    <n v="949900000"/>
    <s v="949.9m"/>
    <x v="17"/>
    <n v="3.6613272311212817"/>
    <n v="0"/>
    <n v="21.736842105263158"/>
    <n v="1.3272311212814645E-5"/>
    <n v="1637758.6206896552"/>
  </r>
  <r>
    <n v="134"/>
    <x v="133"/>
    <n v="81"/>
    <n v="10000"/>
    <s v="10.0k"/>
    <n v="43400000"/>
    <s v="43.4m"/>
    <n v="381600"/>
    <s v="381.6k"/>
    <n v="3.3E-3"/>
    <n v="139300"/>
    <s v="139.3k"/>
    <n v="3800000000"/>
    <s v="3.8b"/>
    <x v="11"/>
    <n v="0.32096774193548389"/>
    <n v="-63.4958071278826"/>
    <n v="87.557603686635943"/>
    <n v="2.304147465437788E-4"/>
    <n v="380000"/>
  </r>
  <r>
    <n v="135"/>
    <x v="134"/>
    <n v="85"/>
    <n v="8900"/>
    <s v="8.9k"/>
    <n v="43200000"/>
    <s v="43.2m"/>
    <n v="65099.999999999993"/>
    <s v="65.1k"/>
    <n v="2.0000000000000001E-4"/>
    <n v="7700"/>
    <s v="7.7k"/>
    <n v="580700000"/>
    <s v="580.7m"/>
    <x v="0"/>
    <n v="1.7824074074074076E-2"/>
    <n v="-88.172043010752688"/>
    <n v="13.44212962962963"/>
    <n v="2.0601851851851852E-4"/>
    <n v="65247.191011235955"/>
  </r>
  <r>
    <n v="136"/>
    <x v="135"/>
    <n v="84"/>
    <n v="3000"/>
    <s v="3.0k"/>
    <n v="43100000"/>
    <s v="43.1m"/>
    <n v="969700"/>
    <s v="969.7k"/>
    <n v="1.0500000000000001E-2"/>
    <n v="444200"/>
    <s v="444.2k"/>
    <n v="2900000000"/>
    <s v="2.9b"/>
    <x v="1"/>
    <n v="1.0306264501160094"/>
    <n v="-54.19201814994328"/>
    <n v="67.285382830626446"/>
    <n v="6.9605568445475636E-5"/>
    <n v="966666.66666666663"/>
  </r>
  <r>
    <n v="137"/>
    <x v="136"/>
    <n v="86"/>
    <n v="4400"/>
    <s v="4.4k"/>
    <n v="42900000"/>
    <s v="42.9m"/>
    <n v="790200"/>
    <s v="790.2k"/>
    <n v="4.3E-3"/>
    <n v="181000"/>
    <s v="181.0k"/>
    <n v="3500000000"/>
    <s v="3.5b"/>
    <x v="1"/>
    <n v="0.42191142191142195"/>
    <n v="-77.09440647937231"/>
    <n v="81.585081585081582"/>
    <n v="1.0256410256410256E-4"/>
    <n v="795454.54545454541"/>
  </r>
  <r>
    <n v="138"/>
    <x v="137"/>
    <n v="83"/>
    <n v="950"/>
    <s v="0.95k"/>
    <n v="42200000"/>
    <s v="42.2m"/>
    <n v="736400"/>
    <s v="736.4k"/>
    <n v="1.49E-2"/>
    <n v="624500"/>
    <s v="624.5k"/>
    <n v="710700000"/>
    <s v="710.7m"/>
    <x v="2"/>
    <n v="1.4798578199052133"/>
    <n v="-15.195545898967952"/>
    <n v="16.841232227488153"/>
    <n v="2.2511848341232229E-5"/>
    <n v="748105.26315789472"/>
  </r>
  <r>
    <n v="139"/>
    <x v="138"/>
    <n v="83"/>
    <n v="10"/>
    <s v="0.01k"/>
    <n v="42100000"/>
    <s v="42.1m"/>
    <n v="3700000"/>
    <s v="3.7m"/>
    <n v="0.13089999999999999"/>
    <n v="5400000"/>
    <s v="5.4m"/>
    <n v="67500000"/>
    <s v="67.5m"/>
    <x v="2"/>
    <n v="12.826603325415679"/>
    <n v="45.945945945945951"/>
    <n v="1.6033254156769596"/>
    <n v="2.3752969121140143E-7"/>
    <n v="6750000"/>
  </r>
  <r>
    <n v="140"/>
    <x v="139"/>
    <n v="80"/>
    <n v="3000"/>
    <s v="3.0k"/>
    <n v="42100000"/>
    <s v="42.1m"/>
    <n v="513100"/>
    <s v="513.1k"/>
    <n v="5.4999999999999997E-3"/>
    <n v="221700"/>
    <s v="221.7k"/>
    <n v="1600000000"/>
    <s v="1.6b"/>
    <x v="9"/>
    <n v="0.52660332541567689"/>
    <n v="-56.792048333658151"/>
    <n v="38.004750593824227"/>
    <n v="7.125890736342043E-5"/>
    <n v="533333.33333333337"/>
  </r>
  <r>
    <n v="141"/>
    <x v="140"/>
    <n v="83"/>
    <n v="20"/>
    <s v="0.02k"/>
    <n v="41900000"/>
    <s v="41.9m"/>
    <n v="14200000"/>
    <s v="14.2m"/>
    <n v="0.2641"/>
    <n v="11000000"/>
    <s v="11.0m"/>
    <n v="368100000"/>
    <s v="368.1m"/>
    <x v="2"/>
    <n v="26.252983293556088"/>
    <n v="-22.535211267605636"/>
    <n v="8.785202863961814"/>
    <n v="4.7732696897374702E-7"/>
    <n v="18405000"/>
  </r>
  <r>
    <n v="142"/>
    <x v="141"/>
    <n v="73"/>
    <n v="1400"/>
    <s v="1.4k"/>
    <n v="41800000"/>
    <s v="41.8m"/>
    <n v="1000000"/>
    <s v="1.0m"/>
    <n v="1.9800000000000002E-2"/>
    <n v="818600"/>
    <s v="818.6k"/>
    <n v="1500000000"/>
    <s v="1.5b"/>
    <x v="4"/>
    <n v="1.958373205741627"/>
    <n v="-18.14"/>
    <n v="35.885167464114829"/>
    <n v="3.3492822966507174E-5"/>
    <n v="1071428.5714285714"/>
  </r>
  <r>
    <n v="143"/>
    <x v="142"/>
    <n v="83"/>
    <n v="1700"/>
    <s v="1.7k"/>
    <n v="41600000"/>
    <s v="41.6m"/>
    <n v="1400000"/>
    <s v="1.4m"/>
    <n v="1.7600000000000001E-2"/>
    <n v="727500"/>
    <s v="727.5k"/>
    <n v="2300000000"/>
    <s v="2.3b"/>
    <x v="18"/>
    <n v="1.7487980769230769"/>
    <n v="-48.035714285714285"/>
    <n v="55.28846153846154"/>
    <n v="4.0865384615384615E-5"/>
    <n v="1352941.1764705882"/>
  </r>
  <r>
    <n v="144"/>
    <x v="143"/>
    <n v="83"/>
    <n v="670"/>
    <s v="0.67k"/>
    <n v="41500000"/>
    <s v="41.5m"/>
    <n v="1100000"/>
    <s v="1.1m"/>
    <n v="3.9699999999999999E-2"/>
    <n v="1600000"/>
    <s v="1.6m"/>
    <n v="767000000"/>
    <s v="767.0m"/>
    <x v="2"/>
    <n v="3.8554216867469884"/>
    <n v="45.454545454545453"/>
    <n v="18.481927710843372"/>
    <n v="1.6144578313253012E-5"/>
    <n v="1144776.1194029851"/>
  </r>
  <r>
    <n v="145"/>
    <x v="144"/>
    <n v="85"/>
    <n v="9700"/>
    <s v="9.7k"/>
    <n v="41500000"/>
    <s v="41.5m"/>
    <n v="88800"/>
    <s v="88.8k"/>
    <n v="1.6000000000000001E-3"/>
    <n v="63600"/>
    <s v="63.6k"/>
    <n v="863000000"/>
    <s v="863.0m"/>
    <x v="2"/>
    <n v="0.15325301204819278"/>
    <n v="-28.378378378378379"/>
    <n v="20.795180722891565"/>
    <n v="2.3373493975903614E-4"/>
    <n v="88969.072164948448"/>
  </r>
  <r>
    <n v="146"/>
    <x v="145"/>
    <n v="85"/>
    <n v="1800"/>
    <s v="1.8k"/>
    <n v="40800000"/>
    <s v="40.8m"/>
    <n v="1000000"/>
    <s v="1.0m"/>
    <n v="7.6E-3"/>
    <n v="299300"/>
    <s v="299.3k"/>
    <n v="1800000000"/>
    <s v="1.8b"/>
    <x v="19"/>
    <n v="0.73357843137254908"/>
    <n v="-70.069999999999993"/>
    <n v="44.117647058823529"/>
    <n v="4.4117647058823532E-5"/>
    <n v="1000000"/>
  </r>
  <r>
    <n v="147"/>
    <x v="146"/>
    <n v="81"/>
    <n v="2100"/>
    <s v="2.1k"/>
    <n v="40700000"/>
    <s v="40.7m"/>
    <n v="586400"/>
    <s v="586.4k"/>
    <n v="1E-4"/>
    <n v="0"/>
    <n v="0"/>
    <n v="1200000000"/>
    <s v="1.2b"/>
    <x v="4"/>
    <n v="0"/>
    <n v="-100"/>
    <n v="29.484029484029485"/>
    <n v="5.1597051597051597E-5"/>
    <n v="571428.57142857148"/>
  </r>
  <r>
    <n v="148"/>
    <x v="147"/>
    <n v="85"/>
    <n v="90"/>
    <s v="0.09k"/>
    <n v="40700000"/>
    <s v="40.7m"/>
    <n v="4600000"/>
    <s v="4.6m"/>
    <n v="1.8800000000000001E-2"/>
    <n v="731000"/>
    <s v="731.0k"/>
    <n v="452000000"/>
    <s v="452.0m"/>
    <x v="2"/>
    <n v="1.796068796068796"/>
    <n v="-84.108695652173921"/>
    <n v="11.105651105651106"/>
    <n v="2.2113022113022112E-6"/>
    <n v="5022222.222222222"/>
  </r>
  <r>
    <n v="149"/>
    <x v="148"/>
    <n v="85"/>
    <n v="300"/>
    <s v="0.30k"/>
    <n v="40100000"/>
    <s v="40.1m"/>
    <n v="3100000"/>
    <s v="3.1m"/>
    <n v="2.4899999999999999E-2"/>
    <n v="994400"/>
    <s v="994.4k"/>
    <n v="957900000"/>
    <s v="957.9m"/>
    <x v="2"/>
    <n v="2.4798004987531175"/>
    <n v="-67.92258064516129"/>
    <n v="23.887780548628427"/>
    <n v="7.4812967581047383E-6"/>
    <n v="3193000"/>
  </r>
  <r>
    <n v="150"/>
    <x v="149"/>
    <n v="85"/>
    <n v="2000"/>
    <s v="2.0k"/>
    <n v="40000000"/>
    <s v="40.0m"/>
    <n v="250800"/>
    <s v="250.8k"/>
    <n v="4.1000000000000003E-3"/>
    <n v="161700"/>
    <s v="161.7k"/>
    <n v="500500000"/>
    <s v="500.5m"/>
    <x v="0"/>
    <n v="0.40425"/>
    <n v="-35.526315789473685"/>
    <n v="12.512499999999999"/>
    <n v="5.0000000000000002E-5"/>
    <n v="250250"/>
  </r>
  <r>
    <n v="151"/>
    <x v="150"/>
    <n v="81"/>
    <n v="4500"/>
    <s v="4.5k"/>
    <n v="40000000"/>
    <s v="40.0m"/>
    <n v="118300"/>
    <s v="118.3k"/>
    <n v="2.2000000000000001E-3"/>
    <n v="87400"/>
    <s v="87.4k"/>
    <n v="529900000"/>
    <s v="529.9m"/>
    <x v="10"/>
    <n v="0.2185"/>
    <n v="-26.120033812341504"/>
    <n v="13.2475"/>
    <n v="1.125E-4"/>
    <n v="117755.55555555556"/>
  </r>
  <r>
    <n v="152"/>
    <x v="151"/>
    <n v="75"/>
    <n v="10000"/>
    <s v="10.0k"/>
    <n v="39900000"/>
    <s v="39.9m"/>
    <n v="346700"/>
    <s v="346.7k"/>
    <n v="4.1999999999999997E-3"/>
    <n v="162900"/>
    <s v="162.9k"/>
    <n v="3500000000"/>
    <s v="3.5b"/>
    <x v="6"/>
    <n v="0.40827067669172928"/>
    <n v="-53.014133256417651"/>
    <n v="87.719298245614041"/>
    <n v="2.506265664160401E-4"/>
    <n v="350000"/>
  </r>
  <r>
    <n v="153"/>
    <x v="152"/>
    <n v="80"/>
    <n v="2300"/>
    <s v="2.3k"/>
    <n v="39900000"/>
    <s v="39.9m"/>
    <n v="715500"/>
    <s v="715.5k"/>
    <n v="4.5999999999999999E-3"/>
    <n v="181100"/>
    <s v="181.1k"/>
    <n v="1700000000"/>
    <s v="1.7b"/>
    <x v="1"/>
    <n v="0.45388471177944861"/>
    <n v="-74.689028651292801"/>
    <n v="42.606516290726816"/>
    <n v="5.7644110275689221E-5"/>
    <n v="739130.43478260865"/>
  </r>
  <r>
    <n v="154"/>
    <x v="153"/>
    <n v="78"/>
    <n v="11600"/>
    <s v="11.6k"/>
    <n v="39200000"/>
    <s v="39.2m"/>
    <n v="157400"/>
    <s v="157.4k"/>
    <n v="2.3E-3"/>
    <n v="84400"/>
    <s v="84.4k"/>
    <n v="1800000000"/>
    <s v="1.8b"/>
    <x v="1"/>
    <n v="0.21530612244897962"/>
    <n v="-46.378653113087672"/>
    <n v="45.918367346938773"/>
    <n v="2.9591836734693878E-4"/>
    <n v="155172.41379310345"/>
  </r>
  <r>
    <n v="155"/>
    <x v="154"/>
    <n v="84"/>
    <n v="1200"/>
    <s v="1.2k"/>
    <n v="39200000"/>
    <s v="39.2m"/>
    <n v="486500"/>
    <s v="486.5k"/>
    <n v="5.8999999999999999E-3"/>
    <n v="227700"/>
    <s v="227.7k"/>
    <n v="563900000"/>
    <s v="563.9m"/>
    <x v="2"/>
    <n v="0.58086734693877551"/>
    <n v="-53.19630010277492"/>
    <n v="14.385204081632653"/>
    <n v="3.0612244897959182E-5"/>
    <n v="469916.66666666669"/>
  </r>
  <r>
    <n v="156"/>
    <x v="155"/>
    <n v="58"/>
    <n v="100"/>
    <s v="0.10k"/>
    <n v="39100000"/>
    <s v="39.1m"/>
    <n v="4099999.9999999995"/>
    <s v="4.1m"/>
    <n v="1.6999999999999999E-3"/>
    <n v="0"/>
    <n v="0"/>
    <n v="439400000"/>
    <s v="439.4m"/>
    <x v="2"/>
    <n v="0"/>
    <n v="-100"/>
    <n v="11.237851662404092"/>
    <n v="2.5575447570332483E-6"/>
    <n v="4394000"/>
  </r>
  <r>
    <n v="157"/>
    <x v="156"/>
    <n v="74"/>
    <n v="730"/>
    <s v="0.73k"/>
    <n v="39100000"/>
    <s v="39.1m"/>
    <n v="2200000"/>
    <s v="2.2m"/>
    <n v="8.5599999999999996E-2"/>
    <n v="3300000"/>
    <s v="3.3m"/>
    <n v="1600000000"/>
    <s v="1.6b"/>
    <x v="2"/>
    <n v="8.4398976982097178"/>
    <n v="50"/>
    <n v="40.92071611253197"/>
    <n v="1.8670076726342709E-5"/>
    <n v="2191780.8219178081"/>
  </r>
  <r>
    <n v="158"/>
    <x v="157"/>
    <n v="80"/>
    <n v="1800"/>
    <s v="1.8k"/>
    <n v="39000000"/>
    <s v="39.0m"/>
    <n v="815800"/>
    <s v="815.8k"/>
    <n v="1.01E-2"/>
    <n v="383300"/>
    <s v="383.3k"/>
    <n v="1400000000"/>
    <s v="1.4b"/>
    <x v="2"/>
    <n v="0.98282051282051286"/>
    <n v="-53.015444962000494"/>
    <n v="35.897435897435898"/>
    <n v="4.6153846153846151E-5"/>
    <n v="777777.77777777775"/>
  </r>
  <r>
    <n v="159"/>
    <x v="158"/>
    <n v="79"/>
    <n v="5100"/>
    <s v="5.1k"/>
    <n v="38900000"/>
    <s v="38.9m"/>
    <n v="623100"/>
    <s v="623.1k"/>
    <n v="4.3E-3"/>
    <n v="162100"/>
    <s v="162.1k"/>
    <n v="3200000000"/>
    <s v="3.2b"/>
    <x v="1"/>
    <n v="0.41670951156812336"/>
    <n v="-73.984914138982504"/>
    <n v="82.26221079691517"/>
    <n v="1.3110539845758354E-4"/>
    <n v="627450.98039215687"/>
  </r>
  <r>
    <n v="160"/>
    <x v="159"/>
    <n v="75"/>
    <n v="13400"/>
    <s v="13.4k"/>
    <n v="38800000"/>
    <s v="38.8m"/>
    <n v="139300"/>
    <s v="139.3k"/>
    <n v="1.2999999999999999E-3"/>
    <n v="49100"/>
    <s v="49.1k"/>
    <n v="1900000000"/>
    <s v="1.9b"/>
    <x v="10"/>
    <n v="0.12654639175257731"/>
    <n v="-64.752333094041632"/>
    <n v="48.96907216494845"/>
    <n v="3.4536082474226804E-4"/>
    <n v="141791.04477611941"/>
  </r>
  <r>
    <n v="161"/>
    <x v="160"/>
    <n v="80"/>
    <n v="500"/>
    <s v="0.50k"/>
    <n v="38700000"/>
    <s v="38.7m"/>
    <n v="398700"/>
    <s v="398.7k"/>
    <n v="3.0999999999999999E-3"/>
    <n v="115700"/>
    <s v="115.7k"/>
    <n v="199800000"/>
    <s v="199.8m"/>
    <x v="1"/>
    <n v="0.29896640826873389"/>
    <n v="-70.980687233508903"/>
    <n v="5.1627906976744189"/>
    <n v="1.2919896640826873E-5"/>
    <n v="399600"/>
  </r>
  <r>
    <n v="162"/>
    <x v="161"/>
    <n v="83"/>
    <n v="7300"/>
    <s v="7.3k"/>
    <n v="38500000"/>
    <s v="38.5m"/>
    <n v="88400"/>
    <s v="88.4k"/>
    <n v="5.9999999999999995E-4"/>
    <n v="22400"/>
    <s v="22.4k"/>
    <n v="644100000"/>
    <s v="644.1m"/>
    <x v="20"/>
    <n v="5.8181818181818182E-2"/>
    <n v="-74.660633484162901"/>
    <n v="16.729870129870129"/>
    <n v="1.896103896103896E-4"/>
    <n v="88232.876712328769"/>
  </r>
  <r>
    <n v="163"/>
    <x v="162"/>
    <n v="85"/>
    <n v="5300"/>
    <s v="5.3k"/>
    <n v="38300000"/>
    <s v="38.3m"/>
    <n v="695400"/>
    <s v="695.4k"/>
    <n v="1.7500000000000002E-2"/>
    <n v="658300"/>
    <s v="658.3k"/>
    <n v="3700000000"/>
    <s v="3.7b"/>
    <x v="2"/>
    <n v="1.718798955613577"/>
    <n v="-5.3350589588725912"/>
    <n v="96.605744125326368"/>
    <n v="1.3838120104438644E-4"/>
    <n v="698113.20754716976"/>
  </r>
  <r>
    <n v="164"/>
    <x v="163"/>
    <n v="84"/>
    <n v="730"/>
    <s v="0.73k"/>
    <n v="38300000"/>
    <s v="38.3m"/>
    <n v="813500"/>
    <s v="813.5k"/>
    <n v="0.01"/>
    <n v="363800"/>
    <s v="363.8k"/>
    <n v="594700000"/>
    <s v="594.7m"/>
    <x v="2"/>
    <n v="0.94986945169712789"/>
    <n v="-55.279655808236015"/>
    <n v="15.527415143603132"/>
    <n v="1.9060052219321149E-5"/>
    <n v="814657.53424657532"/>
  </r>
  <r>
    <n v="165"/>
    <x v="164"/>
    <n v="83"/>
    <n v="2700"/>
    <s v="2.7k"/>
    <n v="38100000"/>
    <s v="38.1m"/>
    <n v="594200"/>
    <s v="594.2k"/>
    <n v="1.5800000000000002E-2"/>
    <n v="555900"/>
    <s v="555.9k"/>
    <n v="1600000000"/>
    <s v="1.6b"/>
    <x v="2"/>
    <n v="1.4590551181102362"/>
    <n v="-6.4456411982497475"/>
    <n v="41.99475065616798"/>
    <n v="7.0866141732283471E-5"/>
    <n v="592592.59259259258"/>
  </r>
  <r>
    <n v="166"/>
    <x v="165"/>
    <n v="80"/>
    <n v="8900"/>
    <s v="8.9k"/>
    <n v="37400000"/>
    <s v="37.4m"/>
    <n v="256100.00000000003"/>
    <s v="256.1k"/>
    <n v="2.0000000000000001E-4"/>
    <n v="0"/>
    <n v="0"/>
    <n v="2300000000"/>
    <s v="2.3b"/>
    <x v="2"/>
    <n v="0"/>
    <n v="-100"/>
    <n v="61.497326203208559"/>
    <n v="2.3796791443850268E-4"/>
    <n v="258426.96629213484"/>
  </r>
  <r>
    <n v="167"/>
    <x v="166"/>
    <n v="84"/>
    <n v="1300"/>
    <s v="1.3k"/>
    <n v="37400000"/>
    <s v="37.4m"/>
    <n v="505700"/>
    <s v="505.7k"/>
    <n v="6.7999999999999996E-3"/>
    <n v="246900"/>
    <s v="246.9k"/>
    <n v="672100000"/>
    <s v="672.1m"/>
    <x v="2"/>
    <n v="0.66016042780748663"/>
    <n v="-51.176586909234722"/>
    <n v="17.970588235294116"/>
    <n v="3.4759358288770055E-5"/>
    <n v="517000"/>
  </r>
  <r>
    <n v="168"/>
    <x v="167"/>
    <n v="83"/>
    <n v="110"/>
    <s v="0.11k"/>
    <n v="37000000"/>
    <s v="37.0m"/>
    <n v="10900000"/>
    <s v="10.9m"/>
    <s v="NaN%"/>
    <n v="0"/>
    <n v="0"/>
    <n v="1200000000"/>
    <s v="1.2b"/>
    <x v="2"/>
    <n v="0"/>
    <n v="-100"/>
    <n v="32.432432432432435"/>
    <n v="2.9729729729729731E-6"/>
    <n v="10909090.909090908"/>
  </r>
  <r>
    <n v="169"/>
    <x v="168"/>
    <n v="76"/>
    <n v="380"/>
    <s v="0.38k"/>
    <n v="36900000"/>
    <s v="36.9m"/>
    <n v="172800"/>
    <s v="172.8k"/>
    <n v="1.1999999999999999E-3"/>
    <n v="43400"/>
    <s v="43.4k"/>
    <n v="66700000"/>
    <s v="66.7m"/>
    <x v="10"/>
    <n v="0.11761517615176151"/>
    <n v="-74.884259259259252"/>
    <n v="1.8075880758807588"/>
    <n v="1.029810298102981E-5"/>
    <n v="175526.31578947368"/>
  </r>
  <r>
    <n v="170"/>
    <x v="169"/>
    <n v="83"/>
    <n v="870"/>
    <s v="0.87k"/>
    <n v="36500000"/>
    <s v="36.5m"/>
    <n v="1100000"/>
    <s v="1.1m"/>
    <n v="5.7000000000000002E-3"/>
    <n v="203600"/>
    <s v="203.6k"/>
    <n v="955400000"/>
    <s v="955.4m"/>
    <x v="12"/>
    <n v="0.55780821917808221"/>
    <n v="-81.490909090909085"/>
    <n v="26.175342465753424"/>
    <n v="2.3835616438356165E-5"/>
    <n v="1098160.91954023"/>
  </r>
  <r>
    <n v="171"/>
    <x v="170"/>
    <n v="85"/>
    <n v="9900"/>
    <s v="9.9k"/>
    <n v="36500000"/>
    <s v="36.5m"/>
    <n v="150500"/>
    <s v="150.5k"/>
    <n v="1E-3"/>
    <n v="33400"/>
    <s v="33.4k"/>
    <n v="1500000000"/>
    <s v="1.5b"/>
    <x v="2"/>
    <n v="9.1506849315068486E-2"/>
    <n v="-77.807308970099669"/>
    <n v="41.095890410958901"/>
    <n v="2.7123287671232876E-4"/>
    <n v="151515.15151515152"/>
  </r>
  <r>
    <n v="172"/>
    <x v="171"/>
    <n v="84"/>
    <n v="660"/>
    <s v="0.66k"/>
    <n v="36400000"/>
    <s v="36.4m"/>
    <n v="1100000"/>
    <s v="1.1m"/>
    <n v="2.69E-2"/>
    <n v="962700"/>
    <s v="962.7k"/>
    <n v="730100000"/>
    <s v="730.1m"/>
    <x v="1"/>
    <n v="2.6447802197802197"/>
    <n v="-12.481818181818181"/>
    <n v="20.057692307692307"/>
    <n v="1.8131868131868133E-5"/>
    <n v="1106212.1212121211"/>
  </r>
  <r>
    <n v="173"/>
    <x v="172"/>
    <n v="77"/>
    <n v="10000"/>
    <s v="10.0k"/>
    <n v="36000000"/>
    <s v="36.0m"/>
    <n v="197900"/>
    <s v="197.9k"/>
    <n v="1.8E-3"/>
    <n v="64599.999999999993"/>
    <s v="64.6k"/>
    <n v="2000000000"/>
    <s v="2.0b"/>
    <x v="21"/>
    <n v="0.17944444444444443"/>
    <n v="-67.357251136937847"/>
    <n v="55.555555555555557"/>
    <n v="2.7777777777777778E-4"/>
    <n v="200000"/>
  </r>
  <r>
    <n v="174"/>
    <x v="173"/>
    <n v="81"/>
    <n v="1200"/>
    <s v="1.2k"/>
    <n v="35900000"/>
    <s v="35.9m"/>
    <n v="2200000"/>
    <s v="2.2m"/>
    <n v="2.3400000000000001E-2"/>
    <n v="834500"/>
    <s v="834.5k"/>
    <n v="2600000000"/>
    <s v="2.6b"/>
    <x v="2"/>
    <n v="2.3245125348189415"/>
    <n v="-62.06818181818182"/>
    <n v="72.423398328690809"/>
    <n v="3.3426183844011142E-5"/>
    <n v="2166666.6666666665"/>
  </r>
  <r>
    <n v="175"/>
    <x v="174"/>
    <n v="47"/>
    <n v="30"/>
    <s v="0.03k"/>
    <n v="35900000"/>
    <s v="35.9m"/>
    <n v="518100"/>
    <s v="518.1k"/>
    <n v="8.0000000000000002E-3"/>
    <n v="285900"/>
    <s v="285.9k"/>
    <n v="18700000"/>
    <s v="18.7m"/>
    <x v="22"/>
    <n v="0.79637883008356547"/>
    <n v="-44.81760277938622"/>
    <n v="0.52089136490250698"/>
    <n v="8.3565459610027858E-7"/>
    <n v="623333.33333333337"/>
  </r>
  <r>
    <n v="176"/>
    <x v="175"/>
    <n v="82"/>
    <n v="1100"/>
    <s v="1.1k"/>
    <n v="35600000"/>
    <s v="35.6m"/>
    <n v="1300000"/>
    <s v="1.3m"/>
    <n v="2.5399999999999999E-2"/>
    <n v="780000"/>
    <s v="780.0k"/>
    <n v="1500000000"/>
    <s v="1.5b"/>
    <x v="2"/>
    <n v="2.191011235955056"/>
    <n v="-40"/>
    <n v="42.134831460674157"/>
    <n v="3.0898876404494381E-5"/>
    <n v="1363636.3636363635"/>
  </r>
  <r>
    <n v="177"/>
    <x v="176"/>
    <n v="83"/>
    <n v="2100"/>
    <s v="2.1k"/>
    <n v="35600000"/>
    <s v="35.6m"/>
    <n v="1100000"/>
    <s v="1.1m"/>
    <n v="1.2E-2"/>
    <n v="422900"/>
    <s v="422.9k"/>
    <n v="2200000000"/>
    <s v="2.2b"/>
    <x v="7"/>
    <n v="1.1879213483146067"/>
    <n v="-61.554545454545448"/>
    <n v="61.797752808988761"/>
    <n v="5.8988764044943821E-5"/>
    <n v="1047619.0476190476"/>
  </r>
  <r>
    <n v="178"/>
    <x v="177"/>
    <n v="78"/>
    <n v="590"/>
    <s v="0.59k"/>
    <n v="35500000"/>
    <s v="35.5m"/>
    <n v="2600000"/>
    <s v="2.6m"/>
    <n v="5.2299999999999999E-2"/>
    <n v="1800000"/>
    <s v="1.8m"/>
    <n v="1600000000"/>
    <s v="1.6b"/>
    <x v="23"/>
    <n v="5.070422535211268"/>
    <n v="-30.76923076923077"/>
    <n v="45.070422535211264"/>
    <n v="1.6619718309859155E-5"/>
    <n v="2711864.4067796608"/>
  </r>
  <r>
    <n v="179"/>
    <x v="178"/>
    <n v="81"/>
    <n v="660"/>
    <s v="0.66k"/>
    <n v="35400000"/>
    <s v="35.4m"/>
    <n v="1100000"/>
    <s v="1.1m"/>
    <n v="1.1900000000000001E-2"/>
    <n v="411500"/>
    <s v="411.5k"/>
    <n v="739500000"/>
    <s v="739.5m"/>
    <x v="1"/>
    <n v="1.1624293785310733"/>
    <n v="-62.590909090909086"/>
    <n v="20.889830508474578"/>
    <n v="1.864406779661017E-5"/>
    <n v="1120454.5454545454"/>
  </r>
  <r>
    <n v="180"/>
    <x v="179"/>
    <n v="76"/>
    <n v="1000"/>
    <s v="1.0k"/>
    <n v="35300000"/>
    <s v="35.3m"/>
    <n v="800400"/>
    <s v="800.4k"/>
    <n v="2.0299999999999999E-2"/>
    <n v="664500"/>
    <s v="664.5k"/>
    <n v="810000000"/>
    <s v="810.0m"/>
    <x v="2"/>
    <n v="1.8824362606232294"/>
    <n v="-16.979010494752625"/>
    <n v="22.946175637393768"/>
    <n v="2.8328611898016997E-5"/>
    <n v="810000"/>
  </r>
  <r>
    <n v="181"/>
    <x v="180"/>
    <n v="72"/>
    <n v="4400"/>
    <s v="4.4k"/>
    <n v="35000000"/>
    <s v="35.0m"/>
    <n v="420000"/>
    <s v="420.0k"/>
    <n v="6.4999999999999997E-3"/>
    <n v="222900"/>
    <s v="222.9k"/>
    <n v="1900000000"/>
    <s v="1.9b"/>
    <x v="4"/>
    <n v="0.63685714285714279"/>
    <n v="-46.928571428571431"/>
    <n v="54.285714285714285"/>
    <n v="1.2571428571428572E-4"/>
    <n v="431818.18181818182"/>
  </r>
  <r>
    <n v="182"/>
    <x v="181"/>
    <n v="84"/>
    <n v="7600"/>
    <s v="7.6k"/>
    <n v="34800000"/>
    <s v="34.8m"/>
    <n v="226400"/>
    <s v="226.4k"/>
    <n v="3.5999999999999999E-3"/>
    <n v="121100"/>
    <s v="121.1k"/>
    <n v="1700000000"/>
    <s v="1.7b"/>
    <x v="4"/>
    <n v="0.34798850574712648"/>
    <n v="-46.510600706713781"/>
    <n v="48.850574712643677"/>
    <n v="2.1839080459770116E-4"/>
    <n v="223684.21052631579"/>
  </r>
  <r>
    <n v="183"/>
    <x v="182"/>
    <n v="83"/>
    <n v="4100"/>
    <s v="4.1k"/>
    <n v="34800000"/>
    <s v="34.8m"/>
    <n v="145400"/>
    <s v="145.4k"/>
    <n v="1.6999999999999999E-3"/>
    <n v="58600"/>
    <s v="58.6k"/>
    <n v="589600000"/>
    <s v="589.6m"/>
    <x v="2"/>
    <n v="0.16839080459770114"/>
    <n v="-59.697386519944985"/>
    <n v="16.942528735632184"/>
    <n v="1.1781609195402299E-4"/>
    <n v="143804.87804878049"/>
  </r>
  <r>
    <n v="184"/>
    <x v="183"/>
    <n v="83"/>
    <n v="940"/>
    <s v="0.94k"/>
    <n v="34700000"/>
    <s v="34.7m"/>
    <n v="597200"/>
    <s v="597.2k"/>
    <n v="1.6799999999999999E-2"/>
    <n v="533500"/>
    <s v="533.5k"/>
    <n v="561300000"/>
    <s v="561.3m"/>
    <x v="2"/>
    <n v="1.5374639769452449"/>
    <n v="-10.666443402545212"/>
    <n v="16.175792507204612"/>
    <n v="2.7089337175792506E-5"/>
    <n v="597127.65957446804"/>
  </r>
  <r>
    <n v="185"/>
    <x v="184"/>
    <n v="68"/>
    <n v="1900"/>
    <s v="1.9k"/>
    <n v="34700000"/>
    <s v="34.7m"/>
    <n v="1500000"/>
    <s v="1.5m"/>
    <n v="3.49E-2"/>
    <n v="1200000"/>
    <s v="1.2m"/>
    <n v="2800000000"/>
    <s v="2.8b"/>
    <x v="23"/>
    <n v="3.4582132564841501"/>
    <n v="-20"/>
    <n v="80.691642651296831"/>
    <n v="5.4755043227665703E-5"/>
    <n v="1473684.2105263157"/>
  </r>
  <r>
    <n v="186"/>
    <x v="185"/>
    <n v="84"/>
    <n v="4600"/>
    <s v="4.6k"/>
    <n v="34700000"/>
    <s v="34.7m"/>
    <n v="367800"/>
    <s v="367.8k"/>
    <n v="5.7000000000000002E-3"/>
    <n v="192300"/>
    <s v="192.3k"/>
    <n v="1700000000"/>
    <s v="1.7b"/>
    <x v="2"/>
    <n v="0.55417867435158508"/>
    <n v="-47.71615008156607"/>
    <n v="48.991354466858787"/>
    <n v="1.3256484149855907E-4"/>
    <n v="369565.21739130432"/>
  </r>
  <r>
    <n v="187"/>
    <x v="186"/>
    <n v="80"/>
    <n v="110"/>
    <s v="0.11k"/>
    <n v="34600000"/>
    <s v="34.6m"/>
    <n v="3100000"/>
    <s v="3.1m"/>
    <n v="2.0000000000000001E-4"/>
    <n v="0"/>
    <n v="0"/>
    <n v="350900000"/>
    <s v="350.9m"/>
    <x v="1"/>
    <n v="0"/>
    <n v="-100"/>
    <n v="10.141618497109826"/>
    <n v="3.1791907514450866E-6"/>
    <n v="3190000"/>
  </r>
  <r>
    <n v="188"/>
    <x v="187"/>
    <n v="83"/>
    <n v="150"/>
    <s v="0.15k"/>
    <n v="34200000"/>
    <s v="34.2m"/>
    <n v="136200"/>
    <s v="136.2k"/>
    <n v="2E-3"/>
    <n v="66800"/>
    <s v="66.8k"/>
    <n v="21200000"/>
    <s v="21.2m"/>
    <x v="2"/>
    <n v="0.19532163742690059"/>
    <n v="-50.95447870778267"/>
    <n v="0.61988304093567248"/>
    <n v="4.3859649122807014E-6"/>
    <n v="141333.33333333334"/>
  </r>
  <r>
    <n v="189"/>
    <x v="188"/>
    <n v="77"/>
    <n v="7300"/>
    <s v="7.3k"/>
    <n v="34200000"/>
    <s v="34.2m"/>
    <n v="185200"/>
    <s v="185.2k"/>
    <n v="4.4000000000000003E-3"/>
    <n v="132000"/>
    <s v="132.0k"/>
    <n v="1400000000"/>
    <s v="1.4b"/>
    <x v="1"/>
    <n v="0.38596491228070179"/>
    <n v="-28.725701943844495"/>
    <n v="40.935672514619881"/>
    <n v="2.1345029239766081E-4"/>
    <n v="191780.82191780821"/>
  </r>
  <r>
    <n v="190"/>
    <x v="189"/>
    <n v="83"/>
    <n v="6300"/>
    <s v="6.3k"/>
    <n v="34100000"/>
    <s v="34.1m"/>
    <n v="732400"/>
    <s v="732.4k"/>
    <n v="7.3000000000000001E-3"/>
    <n v="247500"/>
    <s v="247.5k"/>
    <n v="4600000000"/>
    <s v="4.6b"/>
    <x v="1"/>
    <n v="0.72580645161290325"/>
    <n v="-66.206990715456044"/>
    <n v="134.89736070381232"/>
    <n v="1.8475073313782992E-4"/>
    <n v="730158.73015873018"/>
  </r>
  <r>
    <n v="191"/>
    <x v="190"/>
    <n v="79"/>
    <n v="9300"/>
    <s v="9.3k"/>
    <n v="33700000"/>
    <s v="33.7m"/>
    <n v="231300"/>
    <s v="231.3k"/>
    <n v="2.3E-3"/>
    <n v="76500"/>
    <s v="76.5k"/>
    <n v="2200000000"/>
    <s v="2.2b"/>
    <x v="24"/>
    <n v="0.22700296735905043"/>
    <n v="-66.926070038910495"/>
    <n v="65.281899109792292"/>
    <n v="2.7596439169139467E-4"/>
    <n v="236559.13978494622"/>
  </r>
  <r>
    <n v="192"/>
    <x v="191"/>
    <n v="84"/>
    <n v="1400"/>
    <s v="1.4k"/>
    <n v="33600000"/>
    <s v="33.6m"/>
    <n v="2000000"/>
    <s v="2.0m"/>
    <n v="3.5799999999999998E-2"/>
    <n v="1200000"/>
    <s v="1.2m"/>
    <n v="2800000000"/>
    <s v="2.8b"/>
    <x v="3"/>
    <n v="3.5714285714285712"/>
    <n v="-40"/>
    <n v="83.333333333333329"/>
    <n v="4.1666666666666665E-5"/>
    <n v="2000000"/>
  </r>
  <r>
    <n v="193"/>
    <x v="192"/>
    <n v="63"/>
    <n v="4500"/>
    <s v="4.5k"/>
    <n v="33500000"/>
    <s v="33.5m"/>
    <n v="685100"/>
    <s v="685.1k"/>
    <n v="6.7000000000000002E-3"/>
    <n v="220700"/>
    <s v="220.7k"/>
    <n v="3100000000"/>
    <s v="3.1b"/>
    <x v="25"/>
    <n v="0.65880597014925368"/>
    <n v="-67.785724711720917"/>
    <n v="92.537313432835816"/>
    <n v="1.3432835820895522E-4"/>
    <n v="688888.88888888888"/>
  </r>
  <r>
    <n v="194"/>
    <x v="193"/>
    <n v="41"/>
    <n v="370"/>
    <s v="0.37k"/>
    <n v="33500000"/>
    <s v="33.5m"/>
    <n v="1100000"/>
    <s v="1.1m"/>
    <n v="1.61E-2"/>
    <n v="532700"/>
    <s v="532.7k"/>
    <n v="391900000"/>
    <s v="391.9m"/>
    <x v="12"/>
    <n v="1.5901492537313433"/>
    <n v="-51.572727272727271"/>
    <n v="11.698507462686567"/>
    <n v="1.1044776119402984E-5"/>
    <n v="1059189.1891891891"/>
  </r>
  <r>
    <n v="195"/>
    <x v="194"/>
    <n v="75"/>
    <n v="4800"/>
    <s v="4.8k"/>
    <n v="33299999.999999996"/>
    <s v="33.3m"/>
    <n v="264700"/>
    <s v="264.7k"/>
    <n v="6.3E-3"/>
    <n v="209200"/>
    <s v="209.2k"/>
    <n v="1300000000"/>
    <s v="1.3b"/>
    <x v="7"/>
    <n v="0.62822822822822832"/>
    <n v="-20.96713260294673"/>
    <n v="39.039039039039046"/>
    <n v="1.4414414414414415E-4"/>
    <n v="270833.33333333331"/>
  </r>
  <r>
    <n v="196"/>
    <x v="195"/>
    <n v="71"/>
    <n v="2300"/>
    <s v="2.3k"/>
    <n v="33200000.000000004"/>
    <s v="33.2m"/>
    <n v="623800"/>
    <s v="623.8k"/>
    <n v="1.4E-2"/>
    <n v="464700"/>
    <s v="464.7k"/>
    <n v="1400000000"/>
    <s v="1.4b"/>
    <x v="1"/>
    <n v="1.3996987951807227"/>
    <n v="-25.504969541519717"/>
    <n v="42.168674698795179"/>
    <n v="6.9277108433734926E-5"/>
    <n v="608695.65217391308"/>
  </r>
  <r>
    <n v="197"/>
    <x v="196"/>
    <n v="81"/>
    <n v="3800"/>
    <s v="3.8k"/>
    <n v="33200000.000000004"/>
    <s v="33.2m"/>
    <n v="390400"/>
    <s v="390.4k"/>
    <n v="6.4000000000000003E-3"/>
    <n v="208000"/>
    <s v="208.0k"/>
    <n v="1500000000"/>
    <s v="1.5b"/>
    <x v="12"/>
    <n v="0.62650602409638545"/>
    <n v="-46.721311475409841"/>
    <n v="45.180722891566262"/>
    <n v="1.1445783132530119E-4"/>
    <n v="394736.84210526315"/>
  </r>
  <r>
    <n v="198"/>
    <x v="197"/>
    <n v="79"/>
    <n v="770"/>
    <s v="0.77k"/>
    <n v="33200000.000000004"/>
    <s v="33.2m"/>
    <n v="193300"/>
    <s v="193.3k"/>
    <n v="2.5999999999999999E-3"/>
    <n v="82600"/>
    <s v="82.6k"/>
    <n v="149200000"/>
    <s v="149.2m"/>
    <x v="4"/>
    <n v="0.24879518072289153"/>
    <n v="-57.26849456802897"/>
    <n v="4.4939759036144578"/>
    <n v="2.3192771084337346E-5"/>
    <n v="193766.23376623375"/>
  </r>
  <r>
    <n v="199"/>
    <x v="198"/>
    <n v="78"/>
    <n v="2300"/>
    <s v="2.3k"/>
    <n v="33000000"/>
    <s v="33.0m"/>
    <n v="719600"/>
    <s v="719.6k"/>
    <n v="1.4200000000000001E-2"/>
    <n v="467700"/>
    <s v="467.7k"/>
    <n v="1700000000"/>
    <s v="1.7b"/>
    <x v="1"/>
    <n v="1.4172727272727272"/>
    <n v="-35.005558643690939"/>
    <n v="51.515151515151516"/>
    <n v="6.9696969696969699E-5"/>
    <n v="739130.43478260865"/>
  </r>
  <r>
    <n v="200"/>
    <x v="199"/>
    <n v="80"/>
    <n v="4200"/>
    <s v="4.2k"/>
    <n v="32799999.999999996"/>
    <s v="32.8m"/>
    <n v="232200"/>
    <s v="232.2k"/>
    <n v="3.0000000000000001E-3"/>
    <n v="97400"/>
    <s v="97.4k"/>
    <n v="969100000"/>
    <s v="969.1m"/>
    <x v="10"/>
    <n v="0.29695121951219516"/>
    <n v="-58.053402239448751"/>
    <n v="29.545731707317078"/>
    <n v="1.2804878048780488E-4"/>
    <n v="230738.095238095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CFF052-F046-4590-B8A3-A2F01B9F69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04" firstHeaderRow="1" firstDataRow="1" firstDataCol="1"/>
  <pivotFields count="20">
    <pivotField showAll="0"/>
    <pivotField axis="axisRow" showAll="0" sortType="descending">
      <items count="201">
        <item x="193"/>
        <item x="22"/>
        <item x="118"/>
        <item x="83"/>
        <item x="153"/>
        <item x="160"/>
        <item x="61"/>
        <item x="72"/>
        <item x="165"/>
        <item x="15"/>
        <item x="35"/>
        <item x="44"/>
        <item x="131"/>
        <item x="116"/>
        <item x="126"/>
        <item x="120"/>
        <item x="183"/>
        <item x="53"/>
        <item x="176"/>
        <item x="102"/>
        <item x="143"/>
        <item x="4"/>
        <item x="121"/>
        <item x="27"/>
        <item x="152"/>
        <item x="13"/>
        <item x="85"/>
        <item x="88"/>
        <item x="125"/>
        <item x="64"/>
        <item x="194"/>
        <item x="40"/>
        <item x="180"/>
        <item x="43"/>
        <item x="189"/>
        <item x="48"/>
        <item x="39"/>
        <item x="175"/>
        <item x="91"/>
        <item x="3"/>
        <item x="179"/>
        <item x="159"/>
        <item x="69"/>
        <item x="54"/>
        <item x="87"/>
        <item x="167"/>
        <item x="28"/>
        <item x="145"/>
        <item x="199"/>
        <item x="62"/>
        <item x="68"/>
        <item x="37"/>
        <item x="150"/>
        <item x="106"/>
        <item x="163"/>
        <item x="79"/>
        <item x="108"/>
        <item x="166"/>
        <item x="185"/>
        <item x="113"/>
        <item x="142"/>
        <item x="124"/>
        <item x="12"/>
        <item x="133"/>
        <item x="198"/>
        <item x="16"/>
        <item x="19"/>
        <item x="46"/>
        <item x="47"/>
        <item x="174"/>
        <item x="123"/>
        <item x="11"/>
        <item x="154"/>
        <item x="36"/>
        <item x="50"/>
        <item x="196"/>
        <item x="93"/>
        <item x="75"/>
        <item x="18"/>
        <item x="98"/>
        <item x="172"/>
        <item x="164"/>
        <item x="58"/>
        <item x="146"/>
        <item x="141"/>
        <item x="74"/>
        <item x="70"/>
        <item x="65"/>
        <item x="127"/>
        <item x="155"/>
        <item x="182"/>
        <item x="128"/>
        <item x="197"/>
        <item x="107"/>
        <item x="151"/>
        <item x="81"/>
        <item x="2"/>
        <item x="103"/>
        <item x="168"/>
        <item x="119"/>
        <item x="38"/>
        <item x="89"/>
        <item x="1"/>
        <item x="99"/>
        <item x="101"/>
        <item x="17"/>
        <item x="26"/>
        <item x="5"/>
        <item x="177"/>
        <item x="8"/>
        <item x="192"/>
        <item x="21"/>
        <item x="10"/>
        <item x="20"/>
        <item x="57"/>
        <item x="78"/>
        <item x="76"/>
        <item x="137"/>
        <item x="45"/>
        <item x="82"/>
        <item x="59"/>
        <item x="9"/>
        <item x="112"/>
        <item x="14"/>
        <item x="147"/>
        <item x="49"/>
        <item x="92"/>
        <item x="130"/>
        <item x="100"/>
        <item x="67"/>
        <item x="140"/>
        <item x="181"/>
        <item x="80"/>
        <item x="23"/>
        <item x="195"/>
        <item x="96"/>
        <item x="132"/>
        <item x="161"/>
        <item x="114"/>
        <item x="115"/>
        <item x="129"/>
        <item x="105"/>
        <item x="170"/>
        <item x="41"/>
        <item x="156"/>
        <item x="111"/>
        <item x="34"/>
        <item x="31"/>
        <item x="55"/>
        <item x="171"/>
        <item x="33"/>
        <item x="110"/>
        <item x="188"/>
        <item x="90"/>
        <item x="144"/>
        <item x="52"/>
        <item x="24"/>
        <item x="42"/>
        <item x="184"/>
        <item x="191"/>
        <item x="122"/>
        <item x="157"/>
        <item x="0"/>
        <item x="173"/>
        <item x="158"/>
        <item x="77"/>
        <item x="30"/>
        <item x="104"/>
        <item x="29"/>
        <item x="136"/>
        <item x="60"/>
        <item x="134"/>
        <item x="56"/>
        <item x="135"/>
        <item x="139"/>
        <item x="190"/>
        <item x="186"/>
        <item x="109"/>
        <item x="32"/>
        <item x="7"/>
        <item x="84"/>
        <item x="86"/>
        <item x="178"/>
        <item x="25"/>
        <item x="138"/>
        <item x="94"/>
        <item x="6"/>
        <item x="71"/>
        <item x="162"/>
        <item x="169"/>
        <item x="63"/>
        <item x="149"/>
        <item x="51"/>
        <item x="66"/>
        <item x="187"/>
        <item x="97"/>
        <item x="148"/>
        <item x="73"/>
        <item x="117"/>
        <item x="95"/>
        <item t="default"/>
      </items>
    </pivotField>
    <pivotField dataField="1" showAll="0"/>
    <pivotField showAll="0"/>
    <pivotField showAll="0"/>
    <pivotField numFmtId="4" showAll="0"/>
    <pivotField showAll="0"/>
    <pivotField numFmtId="4" showAll="0"/>
    <pivotField showAll="0"/>
    <pivotField showAll="0"/>
    <pivotField numFmtId="2" showAll="0"/>
    <pivotField showAll="0"/>
    <pivotField numFmtId="2" showAll="0"/>
    <pivotField showAll="0"/>
    <pivotField showAll="0">
      <items count="27">
        <item x="18"/>
        <item x="13"/>
        <item x="4"/>
        <item x="21"/>
        <item x="17"/>
        <item x="3"/>
        <item x="11"/>
        <item x="22"/>
        <item x="12"/>
        <item x="24"/>
        <item x="7"/>
        <item x="10"/>
        <item x="14"/>
        <item x="23"/>
        <item x="5"/>
        <item x="16"/>
        <item x="25"/>
        <item x="0"/>
        <item x="20"/>
        <item x="19"/>
        <item x="9"/>
        <item x="15"/>
        <item x="6"/>
        <item x="1"/>
        <item x="2"/>
        <item x="8"/>
        <item t="default"/>
      </items>
    </pivotField>
    <pivotField numFmtId="2" showAll="0"/>
    <pivotField numFmtId="10" showAll="0"/>
    <pivotField numFmtId="2" showAll="0"/>
    <pivotField numFmtId="164" showAll="0"/>
    <pivotField numFmtId="2" showAll="0"/>
  </pivotFields>
  <rowFields count="1">
    <field x="1"/>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Items count="1">
    <i/>
  </colItems>
  <dataFields count="1">
    <dataField name="Sum of influence_score" fld="2"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D184E4-0798-40C2-8BDE-2907131EFF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30" firstHeaderRow="0" firstDataRow="1" firstDataCol="1"/>
  <pivotFields count="20">
    <pivotField showAll="0"/>
    <pivotField showAll="0">
      <items count="201">
        <item x="95"/>
        <item x="117"/>
        <item x="73"/>
        <item x="148"/>
        <item x="97"/>
        <item x="187"/>
        <item x="66"/>
        <item x="51"/>
        <item x="149"/>
        <item x="63"/>
        <item x="169"/>
        <item x="162"/>
        <item x="71"/>
        <item x="6"/>
        <item x="94"/>
        <item x="138"/>
        <item x="25"/>
        <item x="178"/>
        <item x="86"/>
        <item x="84"/>
        <item x="7"/>
        <item x="32"/>
        <item x="109"/>
        <item x="186"/>
        <item x="190"/>
        <item x="139"/>
        <item x="135"/>
        <item x="56"/>
        <item x="134"/>
        <item x="60"/>
        <item x="136"/>
        <item x="29"/>
        <item x="104"/>
        <item x="30"/>
        <item x="77"/>
        <item x="158"/>
        <item x="173"/>
        <item x="0"/>
        <item x="157"/>
        <item x="122"/>
        <item x="191"/>
        <item x="184"/>
        <item x="42"/>
        <item x="24"/>
        <item x="52"/>
        <item x="144"/>
        <item x="90"/>
        <item x="188"/>
        <item x="110"/>
        <item x="33"/>
        <item x="171"/>
        <item x="55"/>
        <item x="31"/>
        <item x="34"/>
        <item x="111"/>
        <item x="156"/>
        <item x="41"/>
        <item x="170"/>
        <item x="105"/>
        <item x="129"/>
        <item x="115"/>
        <item x="114"/>
        <item x="161"/>
        <item x="132"/>
        <item x="96"/>
        <item x="195"/>
        <item x="23"/>
        <item x="80"/>
        <item x="181"/>
        <item x="140"/>
        <item x="67"/>
        <item x="100"/>
        <item x="130"/>
        <item x="92"/>
        <item x="49"/>
        <item x="147"/>
        <item x="14"/>
        <item x="112"/>
        <item x="9"/>
        <item x="59"/>
        <item x="82"/>
        <item x="45"/>
        <item x="137"/>
        <item x="76"/>
        <item x="78"/>
        <item x="57"/>
        <item x="20"/>
        <item x="10"/>
        <item x="21"/>
        <item x="192"/>
        <item x="8"/>
        <item x="177"/>
        <item x="5"/>
        <item x="26"/>
        <item x="17"/>
        <item x="101"/>
        <item x="99"/>
        <item x="1"/>
        <item x="89"/>
        <item x="38"/>
        <item x="119"/>
        <item x="168"/>
        <item x="103"/>
        <item x="2"/>
        <item x="81"/>
        <item x="151"/>
        <item x="107"/>
        <item x="197"/>
        <item x="128"/>
        <item x="182"/>
        <item x="155"/>
        <item x="127"/>
        <item x="65"/>
        <item x="70"/>
        <item x="74"/>
        <item x="141"/>
        <item x="146"/>
        <item x="58"/>
        <item x="164"/>
        <item x="172"/>
        <item x="98"/>
        <item x="18"/>
        <item x="75"/>
        <item x="93"/>
        <item x="196"/>
        <item x="50"/>
        <item x="36"/>
        <item x="154"/>
        <item x="11"/>
        <item x="123"/>
        <item x="174"/>
        <item x="47"/>
        <item x="46"/>
        <item x="19"/>
        <item x="16"/>
        <item x="198"/>
        <item x="133"/>
        <item x="12"/>
        <item x="124"/>
        <item x="142"/>
        <item x="113"/>
        <item x="185"/>
        <item x="166"/>
        <item x="108"/>
        <item x="79"/>
        <item x="163"/>
        <item x="106"/>
        <item x="150"/>
        <item x="37"/>
        <item x="68"/>
        <item x="62"/>
        <item x="199"/>
        <item x="145"/>
        <item x="28"/>
        <item x="167"/>
        <item x="87"/>
        <item x="54"/>
        <item x="69"/>
        <item x="159"/>
        <item x="179"/>
        <item x="3"/>
        <item x="91"/>
        <item x="175"/>
        <item x="39"/>
        <item x="48"/>
        <item x="189"/>
        <item x="43"/>
        <item x="180"/>
        <item x="40"/>
        <item x="194"/>
        <item x="64"/>
        <item x="125"/>
        <item x="88"/>
        <item x="85"/>
        <item x="13"/>
        <item x="152"/>
        <item x="27"/>
        <item x="121"/>
        <item x="4"/>
        <item x="143"/>
        <item x="102"/>
        <item x="176"/>
        <item x="53"/>
        <item x="183"/>
        <item x="120"/>
        <item x="126"/>
        <item x="116"/>
        <item x="131"/>
        <item x="44"/>
        <item x="35"/>
        <item x="15"/>
        <item x="165"/>
        <item x="72"/>
        <item x="61"/>
        <item x="160"/>
        <item x="153"/>
        <item x="83"/>
        <item x="118"/>
        <item x="22"/>
        <item x="193"/>
        <item t="default"/>
      </items>
    </pivotField>
    <pivotField showAll="0"/>
    <pivotField showAll="0"/>
    <pivotField showAll="0"/>
    <pivotField numFmtId="4" showAll="0"/>
    <pivotField dataField="1" showAll="0"/>
    <pivotField numFmtId="4" showAll="0"/>
    <pivotField showAll="0"/>
    <pivotField showAll="0"/>
    <pivotField numFmtId="2" showAll="0"/>
    <pivotField showAll="0"/>
    <pivotField numFmtId="2" showAll="0"/>
    <pivotField showAll="0"/>
    <pivotField axis="axisRow" showAll="0">
      <items count="27">
        <item x="18"/>
        <item x="13"/>
        <item x="4"/>
        <item x="21"/>
        <item x="17"/>
        <item x="3"/>
        <item x="11"/>
        <item x="22"/>
        <item x="12"/>
        <item x="24"/>
        <item x="7"/>
        <item x="10"/>
        <item x="14"/>
        <item x="23"/>
        <item x="5"/>
        <item x="16"/>
        <item x="25"/>
        <item x="0"/>
        <item x="20"/>
        <item x="19"/>
        <item x="9"/>
        <item x="15"/>
        <item x="6"/>
        <item x="1"/>
        <item x="2"/>
        <item x="8"/>
        <item t="default"/>
      </items>
    </pivotField>
    <pivotField dataField="1" numFmtId="2" showAll="0"/>
    <pivotField numFmtId="10" showAll="0"/>
    <pivotField numFmtId="2" showAll="0"/>
    <pivotField numFmtId="164" showAll="0"/>
    <pivotField numFmtId="2" showAll="0"/>
  </pivotFields>
  <rowFields count="1">
    <field x="14"/>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2">
    <i>
      <x/>
    </i>
    <i i="1">
      <x v="1"/>
    </i>
  </colItems>
  <dataFields count="2">
    <dataField name="Count of followers" fld="6" subtotal="count" baseField="14" baseItem="0"/>
    <dataField name="Average of Engagement Rate (%)" fld="15" subtotal="average" baseField="14" baseItem="0" numFmtId="2"/>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3BF245-3CB7-4A6F-9225-00CD416931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204" firstHeaderRow="0" firstDataRow="1" firstDataCol="1"/>
  <pivotFields count="20">
    <pivotField showAll="0"/>
    <pivotField axis="axisRow" showAll="0">
      <items count="201">
        <item x="95"/>
        <item x="117"/>
        <item x="73"/>
        <item x="148"/>
        <item x="97"/>
        <item x="187"/>
        <item x="66"/>
        <item x="51"/>
        <item x="149"/>
        <item x="63"/>
        <item x="169"/>
        <item x="162"/>
        <item x="71"/>
        <item x="6"/>
        <item x="94"/>
        <item x="138"/>
        <item x="25"/>
        <item x="178"/>
        <item x="86"/>
        <item x="84"/>
        <item x="7"/>
        <item x="32"/>
        <item x="109"/>
        <item x="186"/>
        <item x="190"/>
        <item x="139"/>
        <item x="135"/>
        <item x="56"/>
        <item x="134"/>
        <item x="60"/>
        <item x="136"/>
        <item x="29"/>
        <item x="104"/>
        <item x="30"/>
        <item x="77"/>
        <item x="158"/>
        <item x="173"/>
        <item x="0"/>
        <item x="157"/>
        <item x="122"/>
        <item x="191"/>
        <item x="184"/>
        <item x="42"/>
        <item x="24"/>
        <item x="52"/>
        <item x="144"/>
        <item x="90"/>
        <item x="188"/>
        <item x="110"/>
        <item x="33"/>
        <item x="171"/>
        <item x="55"/>
        <item x="31"/>
        <item x="34"/>
        <item x="111"/>
        <item x="156"/>
        <item x="41"/>
        <item x="170"/>
        <item x="105"/>
        <item x="129"/>
        <item x="115"/>
        <item x="114"/>
        <item x="161"/>
        <item x="132"/>
        <item x="96"/>
        <item x="195"/>
        <item x="23"/>
        <item x="80"/>
        <item x="181"/>
        <item x="140"/>
        <item x="67"/>
        <item x="100"/>
        <item x="130"/>
        <item x="92"/>
        <item x="49"/>
        <item x="147"/>
        <item x="14"/>
        <item x="112"/>
        <item x="9"/>
        <item x="59"/>
        <item x="82"/>
        <item x="45"/>
        <item x="137"/>
        <item x="76"/>
        <item x="78"/>
        <item x="57"/>
        <item x="20"/>
        <item x="10"/>
        <item x="21"/>
        <item x="192"/>
        <item x="8"/>
        <item x="177"/>
        <item x="5"/>
        <item x="26"/>
        <item x="17"/>
        <item x="101"/>
        <item x="99"/>
        <item x="1"/>
        <item x="89"/>
        <item x="38"/>
        <item x="119"/>
        <item x="168"/>
        <item x="103"/>
        <item x="2"/>
        <item x="81"/>
        <item x="151"/>
        <item x="107"/>
        <item x="197"/>
        <item x="128"/>
        <item x="182"/>
        <item x="155"/>
        <item x="127"/>
        <item x="65"/>
        <item x="70"/>
        <item x="74"/>
        <item x="141"/>
        <item x="146"/>
        <item x="58"/>
        <item x="164"/>
        <item x="172"/>
        <item x="98"/>
        <item x="18"/>
        <item x="75"/>
        <item x="93"/>
        <item x="196"/>
        <item x="50"/>
        <item x="36"/>
        <item x="154"/>
        <item x="11"/>
        <item x="123"/>
        <item x="174"/>
        <item x="47"/>
        <item x="46"/>
        <item x="19"/>
        <item x="16"/>
        <item x="198"/>
        <item x="133"/>
        <item x="12"/>
        <item x="124"/>
        <item x="142"/>
        <item x="113"/>
        <item x="185"/>
        <item x="166"/>
        <item x="108"/>
        <item x="79"/>
        <item x="163"/>
        <item x="106"/>
        <item x="150"/>
        <item x="37"/>
        <item x="68"/>
        <item x="62"/>
        <item x="199"/>
        <item x="145"/>
        <item x="28"/>
        <item x="167"/>
        <item x="87"/>
        <item x="54"/>
        <item x="69"/>
        <item x="159"/>
        <item x="179"/>
        <item x="3"/>
        <item x="91"/>
        <item x="175"/>
        <item x="39"/>
        <item x="48"/>
        <item x="189"/>
        <item x="43"/>
        <item x="180"/>
        <item x="40"/>
        <item x="194"/>
        <item x="64"/>
        <item x="125"/>
        <item x="88"/>
        <item x="85"/>
        <item x="13"/>
        <item x="152"/>
        <item x="27"/>
        <item x="121"/>
        <item x="4"/>
        <item x="143"/>
        <item x="102"/>
        <item x="176"/>
        <item x="53"/>
        <item x="183"/>
        <item x="120"/>
        <item x="126"/>
        <item x="116"/>
        <item x="131"/>
        <item x="44"/>
        <item x="35"/>
        <item x="15"/>
        <item x="165"/>
        <item x="72"/>
        <item x="61"/>
        <item x="160"/>
        <item x="153"/>
        <item x="83"/>
        <item x="118"/>
        <item x="22"/>
        <item x="193"/>
        <item t="default"/>
      </items>
    </pivotField>
    <pivotField showAll="0"/>
    <pivotField showAll="0"/>
    <pivotField showAll="0"/>
    <pivotField dataField="1" numFmtId="4" showAll="0"/>
    <pivotField showAll="0"/>
    <pivotField dataField="1" numFmtId="4" showAll="0"/>
    <pivotField showAll="0"/>
    <pivotField showAll="0"/>
    <pivotField numFmtId="2" showAll="0"/>
    <pivotField showAll="0"/>
    <pivotField numFmtId="2" showAll="0"/>
    <pivotField showAll="0"/>
    <pivotField showAll="0">
      <items count="27">
        <item x="18"/>
        <item x="13"/>
        <item x="4"/>
        <item x="21"/>
        <item x="17"/>
        <item x="3"/>
        <item x="11"/>
        <item x="22"/>
        <item x="12"/>
        <item x="24"/>
        <item x="7"/>
        <item x="10"/>
        <item x="14"/>
        <item x="23"/>
        <item x="5"/>
        <item x="16"/>
        <item x="25"/>
        <item x="0"/>
        <item x="20"/>
        <item x="19"/>
        <item x="9"/>
        <item x="15"/>
        <item x="6"/>
        <item x="1"/>
        <item x="2"/>
        <item x="8"/>
        <item t="default"/>
      </items>
    </pivotField>
    <pivotField numFmtId="2" showAll="0"/>
    <pivotField numFmtId="10" showAll="0"/>
    <pivotField numFmtId="2" showAll="0"/>
    <pivotField numFmtId="164" showAll="0"/>
    <pivotField numFmtId="2" showAll="0"/>
  </pivotFields>
  <rowFields count="1">
    <field x="1"/>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Fields count="1">
    <field x="-2"/>
  </colFields>
  <colItems count="2">
    <i>
      <x/>
    </i>
    <i i="1">
      <x v="1"/>
    </i>
  </colItems>
  <dataFields count="2">
    <dataField name="Sum of avg likes numerical" fld="7" baseField="0" baseItem="0" numFmtId="4"/>
    <dataField name="Sum of Followers Numeric" fld="5" baseField="0" baseItem="0" numFmtId="4"/>
  </dataField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2743D5-AB12-44FE-9C78-951E89D5C71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04" firstHeaderRow="1" firstDataRow="1" firstDataCol="1"/>
  <pivotFields count="20">
    <pivotField showAll="0"/>
    <pivotField axis="axisRow" showAll="0">
      <items count="201">
        <item x="95"/>
        <item x="117"/>
        <item x="73"/>
        <item x="148"/>
        <item x="97"/>
        <item x="187"/>
        <item x="66"/>
        <item x="51"/>
        <item x="149"/>
        <item x="63"/>
        <item x="169"/>
        <item x="162"/>
        <item x="71"/>
        <item x="6"/>
        <item x="94"/>
        <item x="138"/>
        <item x="25"/>
        <item x="178"/>
        <item x="86"/>
        <item x="84"/>
        <item x="7"/>
        <item x="32"/>
        <item x="109"/>
        <item x="186"/>
        <item x="190"/>
        <item x="139"/>
        <item x="135"/>
        <item x="56"/>
        <item x="134"/>
        <item x="60"/>
        <item x="136"/>
        <item x="29"/>
        <item x="104"/>
        <item x="30"/>
        <item x="77"/>
        <item x="158"/>
        <item x="173"/>
        <item x="0"/>
        <item x="157"/>
        <item x="122"/>
        <item x="191"/>
        <item x="184"/>
        <item x="42"/>
        <item x="24"/>
        <item x="52"/>
        <item x="144"/>
        <item x="90"/>
        <item x="188"/>
        <item x="110"/>
        <item x="33"/>
        <item x="171"/>
        <item x="55"/>
        <item x="31"/>
        <item x="34"/>
        <item x="111"/>
        <item x="156"/>
        <item x="41"/>
        <item x="170"/>
        <item x="105"/>
        <item x="129"/>
        <item x="115"/>
        <item x="114"/>
        <item x="161"/>
        <item x="132"/>
        <item x="96"/>
        <item x="195"/>
        <item x="23"/>
        <item x="80"/>
        <item x="181"/>
        <item x="140"/>
        <item x="67"/>
        <item x="100"/>
        <item x="130"/>
        <item x="92"/>
        <item x="49"/>
        <item x="147"/>
        <item x="14"/>
        <item x="112"/>
        <item x="9"/>
        <item x="59"/>
        <item x="82"/>
        <item x="45"/>
        <item x="137"/>
        <item x="76"/>
        <item x="78"/>
        <item x="57"/>
        <item x="20"/>
        <item x="10"/>
        <item x="21"/>
        <item x="192"/>
        <item x="8"/>
        <item x="177"/>
        <item x="5"/>
        <item x="26"/>
        <item x="17"/>
        <item x="101"/>
        <item x="99"/>
        <item x="1"/>
        <item x="89"/>
        <item x="38"/>
        <item x="119"/>
        <item x="168"/>
        <item x="103"/>
        <item x="2"/>
        <item x="81"/>
        <item x="151"/>
        <item x="107"/>
        <item x="197"/>
        <item x="128"/>
        <item x="182"/>
        <item x="155"/>
        <item x="127"/>
        <item x="65"/>
        <item x="70"/>
        <item x="74"/>
        <item x="141"/>
        <item x="146"/>
        <item x="58"/>
        <item x="164"/>
        <item x="172"/>
        <item x="98"/>
        <item x="18"/>
        <item x="75"/>
        <item x="93"/>
        <item x="196"/>
        <item x="50"/>
        <item x="36"/>
        <item x="154"/>
        <item x="11"/>
        <item x="123"/>
        <item x="174"/>
        <item x="47"/>
        <item x="46"/>
        <item x="19"/>
        <item x="16"/>
        <item x="198"/>
        <item x="133"/>
        <item x="12"/>
        <item x="124"/>
        <item x="142"/>
        <item x="113"/>
        <item x="185"/>
        <item x="166"/>
        <item x="108"/>
        <item x="79"/>
        <item x="163"/>
        <item x="106"/>
        <item x="150"/>
        <item x="37"/>
        <item x="68"/>
        <item x="62"/>
        <item x="199"/>
        <item x="145"/>
        <item x="28"/>
        <item x="167"/>
        <item x="87"/>
        <item x="54"/>
        <item x="69"/>
        <item x="159"/>
        <item x="179"/>
        <item x="3"/>
        <item x="91"/>
        <item x="175"/>
        <item x="39"/>
        <item x="48"/>
        <item x="189"/>
        <item x="43"/>
        <item x="180"/>
        <item x="40"/>
        <item x="194"/>
        <item x="64"/>
        <item x="125"/>
        <item x="88"/>
        <item x="85"/>
        <item x="13"/>
        <item x="152"/>
        <item x="27"/>
        <item x="121"/>
        <item x="4"/>
        <item x="143"/>
        <item x="102"/>
        <item x="176"/>
        <item x="53"/>
        <item x="183"/>
        <item x="120"/>
        <item x="126"/>
        <item x="116"/>
        <item x="131"/>
        <item x="44"/>
        <item x="35"/>
        <item x="15"/>
        <item x="165"/>
        <item x="72"/>
        <item x="61"/>
        <item x="160"/>
        <item x="153"/>
        <item x="83"/>
        <item x="118"/>
        <item x="22"/>
        <item x="193"/>
        <item t="default"/>
      </items>
    </pivotField>
    <pivotField showAll="0"/>
    <pivotField showAll="0"/>
    <pivotField showAll="0"/>
    <pivotField numFmtId="4" showAll="0"/>
    <pivotField showAll="0"/>
    <pivotField numFmtId="4" showAll="0"/>
    <pivotField showAll="0"/>
    <pivotField showAll="0"/>
    <pivotField numFmtId="2" showAll="0"/>
    <pivotField showAll="0"/>
    <pivotField numFmtId="2" showAll="0"/>
    <pivotField showAll="0"/>
    <pivotField showAll="0">
      <items count="27">
        <item x="18"/>
        <item x="13"/>
        <item x="4"/>
        <item x="21"/>
        <item x="17"/>
        <item x="3"/>
        <item x="11"/>
        <item x="22"/>
        <item x="12"/>
        <item x="24"/>
        <item x="7"/>
        <item x="10"/>
        <item x="14"/>
        <item x="23"/>
        <item x="5"/>
        <item x="16"/>
        <item x="25"/>
        <item x="0"/>
        <item x="20"/>
        <item x="19"/>
        <item x="9"/>
        <item x="15"/>
        <item x="6"/>
        <item x="1"/>
        <item x="2"/>
        <item x="8"/>
        <item t="default"/>
      </items>
    </pivotField>
    <pivotField numFmtId="2" showAll="0"/>
    <pivotField dataField="1" numFmtId="10" showAll="0"/>
    <pivotField numFmtId="2" showAll="0"/>
    <pivotField numFmtId="164" showAll="0"/>
    <pivotField numFmtId="2" showAll="0"/>
  </pivotFields>
  <rowFields count="1">
    <field x="1"/>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Items count="1">
    <i/>
  </colItems>
  <dataFields count="1">
    <dataField name="Sum of Growth in Likes (%)" fld="16" baseField="0" baseItem="0" numFmtId="1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B6020B8-A8DA-4926-BD1E-FF911DAECBD6}" sourceName="country">
  <pivotTables>
    <pivotTable tabId="5" name="PivotTable4"/>
    <pivotTable tabId="4" name="PivotTable3"/>
    <pivotTable tabId="3" name="PivotTable2"/>
    <pivotTable tabId="2" name="PivotTable1"/>
  </pivotTables>
  <data>
    <tabular pivotCacheId="1900516792">
      <items count="26">
        <i x="18" s="1"/>
        <i x="13" s="1"/>
        <i x="4" s="1"/>
        <i x="21" s="1"/>
        <i x="17" s="1"/>
        <i x="3" s="1"/>
        <i x="11" s="1"/>
        <i x="22" s="1"/>
        <i x="12" s="1"/>
        <i x="24" s="1"/>
        <i x="7" s="1"/>
        <i x="10" s="1"/>
        <i x="14" s="1"/>
        <i x="23" s="1"/>
        <i x="5" s="1"/>
        <i x="16" s="1"/>
        <i x="25" s="1"/>
        <i x="0" s="1"/>
        <i x="20" s="1"/>
        <i x="19" s="1"/>
        <i x="9" s="1"/>
        <i x="15" s="1"/>
        <i x="6" s="1"/>
        <i x="1" s="1"/>
        <i x="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info" xr10:uid="{EEDF2399-2A70-46E8-86A7-835278D2F784}" sourceName="channel_info">
  <pivotTables>
    <pivotTable tabId="5" name="PivotTable4"/>
    <pivotTable tabId="4" name="PivotTable3"/>
    <pivotTable tabId="3" name="PivotTable2"/>
    <pivotTable tabId="2" name="PivotTable1"/>
  </pivotTables>
  <data>
    <tabular pivotCacheId="1900516792">
      <items count="200">
        <i x="95" s="1"/>
        <i x="117" s="1"/>
        <i x="73" s="1"/>
        <i x="148" s="1"/>
        <i x="97" s="1"/>
        <i x="187" s="1"/>
        <i x="66" s="1"/>
        <i x="51" s="1"/>
        <i x="149" s="1"/>
        <i x="63" s="1"/>
        <i x="169" s="1"/>
        <i x="162" s="1"/>
        <i x="71" s="1"/>
        <i x="6" s="1"/>
        <i x="94" s="1"/>
        <i x="138" s="1"/>
        <i x="25" s="1"/>
        <i x="178" s="1"/>
        <i x="86" s="1"/>
        <i x="84" s="1"/>
        <i x="7" s="1"/>
        <i x="32" s="1"/>
        <i x="109" s="1"/>
        <i x="186" s="1"/>
        <i x="190" s="1"/>
        <i x="139" s="1"/>
        <i x="135" s="1"/>
        <i x="56" s="1"/>
        <i x="134" s="1"/>
        <i x="60" s="1"/>
        <i x="136" s="1"/>
        <i x="29" s="1"/>
        <i x="104" s="1"/>
        <i x="30" s="1"/>
        <i x="77" s="1"/>
        <i x="158" s="1"/>
        <i x="173" s="1"/>
        <i x="0" s="1"/>
        <i x="157" s="1"/>
        <i x="122" s="1"/>
        <i x="191" s="1"/>
        <i x="184" s="1"/>
        <i x="42" s="1"/>
        <i x="24" s="1"/>
        <i x="52" s="1"/>
        <i x="144" s="1"/>
        <i x="90" s="1"/>
        <i x="188" s="1"/>
        <i x="110" s="1"/>
        <i x="33" s="1"/>
        <i x="171" s="1"/>
        <i x="55" s="1"/>
        <i x="31" s="1"/>
        <i x="34" s="1"/>
        <i x="111" s="1"/>
        <i x="156" s="1"/>
        <i x="41" s="1"/>
        <i x="170" s="1"/>
        <i x="105" s="1"/>
        <i x="129" s="1"/>
        <i x="115" s="1"/>
        <i x="114" s="1"/>
        <i x="161" s="1"/>
        <i x="132" s="1"/>
        <i x="96" s="1"/>
        <i x="195" s="1"/>
        <i x="23" s="1"/>
        <i x="80" s="1"/>
        <i x="181" s="1"/>
        <i x="140" s="1"/>
        <i x="67" s="1"/>
        <i x="100" s="1"/>
        <i x="130" s="1"/>
        <i x="92" s="1"/>
        <i x="49" s="1"/>
        <i x="147" s="1"/>
        <i x="14" s="1"/>
        <i x="112" s="1"/>
        <i x="9" s="1"/>
        <i x="59" s="1"/>
        <i x="82" s="1"/>
        <i x="45" s="1"/>
        <i x="137" s="1"/>
        <i x="76" s="1"/>
        <i x="78" s="1"/>
        <i x="57" s="1"/>
        <i x="20" s="1"/>
        <i x="10" s="1"/>
        <i x="21" s="1"/>
        <i x="192" s="1"/>
        <i x="8" s="1"/>
        <i x="177" s="1"/>
        <i x="5" s="1"/>
        <i x="26" s="1"/>
        <i x="17" s="1"/>
        <i x="101" s="1"/>
        <i x="99" s="1"/>
        <i x="1" s="1"/>
        <i x="89" s="1"/>
        <i x="38" s="1"/>
        <i x="119" s="1"/>
        <i x="168" s="1"/>
        <i x="103" s="1"/>
        <i x="2" s="1"/>
        <i x="81" s="1"/>
        <i x="151" s="1"/>
        <i x="107" s="1"/>
        <i x="197" s="1"/>
        <i x="128" s="1"/>
        <i x="182" s="1"/>
        <i x="155" s="1"/>
        <i x="127" s="1"/>
        <i x="65" s="1"/>
        <i x="70" s="1"/>
        <i x="74" s="1"/>
        <i x="141" s="1"/>
        <i x="146" s="1"/>
        <i x="58" s="1"/>
        <i x="164" s="1"/>
        <i x="172" s="1"/>
        <i x="98" s="1"/>
        <i x="18" s="1"/>
        <i x="75" s="1"/>
        <i x="93" s="1"/>
        <i x="196" s="1"/>
        <i x="50" s="1"/>
        <i x="36" s="1"/>
        <i x="154" s="1"/>
        <i x="11" s="1"/>
        <i x="123" s="1"/>
        <i x="174" s="1"/>
        <i x="47" s="1"/>
        <i x="46" s="1"/>
        <i x="19" s="1"/>
        <i x="16" s="1"/>
        <i x="198" s="1"/>
        <i x="133" s="1"/>
        <i x="12" s="1"/>
        <i x="124" s="1"/>
        <i x="142" s="1"/>
        <i x="113" s="1"/>
        <i x="185" s="1"/>
        <i x="166" s="1"/>
        <i x="108" s="1"/>
        <i x="79" s="1"/>
        <i x="163" s="1"/>
        <i x="106" s="1"/>
        <i x="150" s="1"/>
        <i x="37" s="1"/>
        <i x="68" s="1"/>
        <i x="62" s="1"/>
        <i x="199" s="1"/>
        <i x="145" s="1"/>
        <i x="28" s="1"/>
        <i x="167" s="1"/>
        <i x="87" s="1"/>
        <i x="54" s="1"/>
        <i x="69" s="1"/>
        <i x="159" s="1"/>
        <i x="179" s="1"/>
        <i x="3" s="1"/>
        <i x="91" s="1"/>
        <i x="175" s="1"/>
        <i x="39" s="1"/>
        <i x="48" s="1"/>
        <i x="189" s="1"/>
        <i x="43" s="1"/>
        <i x="180" s="1"/>
        <i x="40" s="1"/>
        <i x="194" s="1"/>
        <i x="64" s="1"/>
        <i x="125" s="1"/>
        <i x="88" s="1"/>
        <i x="85" s="1"/>
        <i x="13" s="1"/>
        <i x="152" s="1"/>
        <i x="27" s="1"/>
        <i x="121" s="1"/>
        <i x="4" s="1"/>
        <i x="143" s="1"/>
        <i x="102" s="1"/>
        <i x="176" s="1"/>
        <i x="53" s="1"/>
        <i x="183" s="1"/>
        <i x="120" s="1"/>
        <i x="126" s="1"/>
        <i x="116" s="1"/>
        <i x="131" s="1"/>
        <i x="44" s="1"/>
        <i x="35" s="1"/>
        <i x="15" s="1"/>
        <i x="165" s="1"/>
        <i x="72" s="1"/>
        <i x="61" s="1"/>
        <i x="160" s="1"/>
        <i x="153" s="1"/>
        <i x="83" s="1"/>
        <i x="118" s="1"/>
        <i x="22" s="1"/>
        <i x="19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C61FE300-3E13-43EB-994C-BA776B46D9D1}" cache="Slicer_country" caption="country" startItem="14" rowHeight="234950"/>
  <slicer name="channel_info" xr10:uid="{6F437709-E26F-41AA-8195-F0FDE97857A8}" cache="Slicer_channel_info" caption="channel_info"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1B0D3-940D-4CA4-BABA-C1F8DDE5C3CD}">
  <dimension ref="H2:P24"/>
  <sheetViews>
    <sheetView showGridLines="0" tabSelected="1" workbookViewId="0">
      <selection activeCell="F3" sqref="F3"/>
    </sheetView>
  </sheetViews>
  <sheetFormatPr defaultRowHeight="14.4" x14ac:dyDescent="0.3"/>
  <sheetData>
    <row r="2" spans="8:15" ht="21" x14ac:dyDescent="0.4">
      <c r="K2" s="10" t="s">
        <v>914</v>
      </c>
    </row>
    <row r="3" spans="8:15" x14ac:dyDescent="0.3">
      <c r="O3" s="9" t="s">
        <v>915</v>
      </c>
    </row>
    <row r="4" spans="8:15" ht="15.6" x14ac:dyDescent="0.3">
      <c r="H4" s="9" t="s">
        <v>908</v>
      </c>
      <c r="N4" s="11"/>
      <c r="O4" s="9" t="s">
        <v>909</v>
      </c>
    </row>
    <row r="24" spans="8:16" x14ac:dyDescent="0.3">
      <c r="H24" s="9" t="s">
        <v>912</v>
      </c>
      <c r="P24" s="9" t="s">
        <v>916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32AEC-A6D1-4EF8-AA61-F0ACEFCBA632}">
  <dimension ref="A2:H204"/>
  <sheetViews>
    <sheetView showGridLines="0" workbookViewId="0">
      <selection activeCell="H2" sqref="H2"/>
    </sheetView>
  </sheetViews>
  <sheetFormatPr defaultRowHeight="14.4" x14ac:dyDescent="0.3"/>
  <cols>
    <col min="1" max="1" width="21.77734375" bestFit="1" customWidth="1"/>
    <col min="2" max="2" width="20.88671875" bestFit="1" customWidth="1"/>
  </cols>
  <sheetData>
    <row r="2" spans="1:8" ht="18" x14ac:dyDescent="0.35">
      <c r="H2" s="8" t="s">
        <v>908</v>
      </c>
    </row>
    <row r="3" spans="1:8" x14ac:dyDescent="0.3">
      <c r="A3" s="6" t="s">
        <v>902</v>
      </c>
      <c r="B3" t="s">
        <v>904</v>
      </c>
    </row>
    <row r="4" spans="1:8" x14ac:dyDescent="0.3">
      <c r="A4" s="7" t="s">
        <v>861</v>
      </c>
      <c r="B4">
        <v>41</v>
      </c>
    </row>
    <row r="5" spans="1:8" x14ac:dyDescent="0.3">
      <c r="A5" s="7" t="s">
        <v>139</v>
      </c>
      <c r="B5">
        <v>87</v>
      </c>
    </row>
    <row r="6" spans="1:8" x14ac:dyDescent="0.3">
      <c r="A6" s="7" t="s">
        <v>548</v>
      </c>
      <c r="B6">
        <v>82</v>
      </c>
    </row>
    <row r="7" spans="1:8" x14ac:dyDescent="0.3">
      <c r="A7" s="7" t="s">
        <v>409</v>
      </c>
      <c r="B7">
        <v>86</v>
      </c>
    </row>
    <row r="8" spans="1:8" x14ac:dyDescent="0.3">
      <c r="A8" s="7" t="s">
        <v>694</v>
      </c>
      <c r="B8">
        <v>78</v>
      </c>
    </row>
    <row r="9" spans="1:8" x14ac:dyDescent="0.3">
      <c r="A9" s="7" t="s">
        <v>723</v>
      </c>
      <c r="B9">
        <v>80</v>
      </c>
    </row>
    <row r="10" spans="1:8" x14ac:dyDescent="0.3">
      <c r="A10" s="7" t="s">
        <v>316</v>
      </c>
      <c r="B10">
        <v>82</v>
      </c>
    </row>
    <row r="11" spans="1:8" x14ac:dyDescent="0.3">
      <c r="A11" s="7" t="s">
        <v>363</v>
      </c>
      <c r="B11">
        <v>79</v>
      </c>
    </row>
    <row r="12" spans="1:8" x14ac:dyDescent="0.3">
      <c r="A12" s="7" t="s">
        <v>747</v>
      </c>
      <c r="B12">
        <v>80</v>
      </c>
    </row>
    <row r="13" spans="1:8" x14ac:dyDescent="0.3">
      <c r="A13" s="7" t="s">
        <v>101</v>
      </c>
      <c r="B13">
        <v>87</v>
      </c>
    </row>
    <row r="14" spans="1:8" x14ac:dyDescent="0.3">
      <c r="A14" s="7" t="s">
        <v>205</v>
      </c>
      <c r="B14">
        <v>88</v>
      </c>
    </row>
    <row r="15" spans="1:8" x14ac:dyDescent="0.3">
      <c r="A15" s="7" t="s">
        <v>243</v>
      </c>
      <c r="B15">
        <v>88</v>
      </c>
    </row>
    <row r="16" spans="1:8" x14ac:dyDescent="0.3">
      <c r="A16" s="7" t="s">
        <v>603</v>
      </c>
      <c r="B16">
        <v>84</v>
      </c>
    </row>
    <row r="17" spans="1:2" x14ac:dyDescent="0.3">
      <c r="A17" s="7" t="s">
        <v>538</v>
      </c>
      <c r="B17">
        <v>84</v>
      </c>
    </row>
    <row r="18" spans="1:2" x14ac:dyDescent="0.3">
      <c r="A18" s="7" t="s">
        <v>580</v>
      </c>
      <c r="B18">
        <v>86</v>
      </c>
    </row>
    <row r="19" spans="1:2" x14ac:dyDescent="0.3">
      <c r="A19" s="7" t="s">
        <v>554</v>
      </c>
      <c r="B19">
        <v>78</v>
      </c>
    </row>
    <row r="20" spans="1:2" x14ac:dyDescent="0.3">
      <c r="A20" s="7" t="s">
        <v>820</v>
      </c>
      <c r="B20">
        <v>83</v>
      </c>
    </row>
    <row r="21" spans="1:2" x14ac:dyDescent="0.3">
      <c r="A21" s="7" t="s">
        <v>281</v>
      </c>
      <c r="B21">
        <v>77</v>
      </c>
    </row>
    <row r="22" spans="1:2" x14ac:dyDescent="0.3">
      <c r="A22" s="7" t="s">
        <v>793</v>
      </c>
      <c r="B22">
        <v>83</v>
      </c>
    </row>
    <row r="23" spans="1:2" x14ac:dyDescent="0.3">
      <c r="A23" s="7" t="s">
        <v>480</v>
      </c>
      <c r="B23">
        <v>83</v>
      </c>
    </row>
    <row r="24" spans="1:2" x14ac:dyDescent="0.3">
      <c r="A24" s="7" t="s">
        <v>652</v>
      </c>
      <c r="B24">
        <v>83</v>
      </c>
    </row>
    <row r="25" spans="1:2" x14ac:dyDescent="0.3">
      <c r="A25" s="7" t="s">
        <v>36</v>
      </c>
      <c r="B25">
        <v>91</v>
      </c>
    </row>
    <row r="26" spans="1:2" x14ac:dyDescent="0.3">
      <c r="A26" s="7" t="s">
        <v>558</v>
      </c>
      <c r="B26">
        <v>82</v>
      </c>
    </row>
    <row r="27" spans="1:2" x14ac:dyDescent="0.3">
      <c r="A27" s="7" t="s">
        <v>164</v>
      </c>
      <c r="B27">
        <v>87</v>
      </c>
    </row>
    <row r="28" spans="1:2" x14ac:dyDescent="0.3">
      <c r="A28" s="7" t="s">
        <v>691</v>
      </c>
      <c r="B28">
        <v>80</v>
      </c>
    </row>
    <row r="29" spans="1:2" x14ac:dyDescent="0.3">
      <c r="A29" s="7" t="s">
        <v>90</v>
      </c>
      <c r="B29">
        <v>91</v>
      </c>
    </row>
    <row r="30" spans="1:2" x14ac:dyDescent="0.3">
      <c r="A30" s="7" t="s">
        <v>413</v>
      </c>
      <c r="B30">
        <v>86</v>
      </c>
    </row>
    <row r="31" spans="1:2" x14ac:dyDescent="0.3">
      <c r="A31" s="7" t="s">
        <v>424</v>
      </c>
      <c r="B31">
        <v>84</v>
      </c>
    </row>
    <row r="32" spans="1:2" x14ac:dyDescent="0.3">
      <c r="A32" s="7" t="s">
        <v>578</v>
      </c>
      <c r="B32">
        <v>84</v>
      </c>
    </row>
    <row r="33" spans="1:2" x14ac:dyDescent="0.3">
      <c r="A33" s="7" t="s">
        <v>329</v>
      </c>
      <c r="B33">
        <v>82</v>
      </c>
    </row>
    <row r="34" spans="1:2" x14ac:dyDescent="0.3">
      <c r="A34" s="7" t="s">
        <v>865</v>
      </c>
      <c r="B34">
        <v>75</v>
      </c>
    </row>
    <row r="35" spans="1:2" x14ac:dyDescent="0.3">
      <c r="A35" s="7" t="s">
        <v>227</v>
      </c>
      <c r="B35">
        <v>86</v>
      </c>
    </row>
    <row r="36" spans="1:2" x14ac:dyDescent="0.3">
      <c r="A36" s="7" t="s">
        <v>807</v>
      </c>
      <c r="B36">
        <v>72</v>
      </c>
    </row>
    <row r="37" spans="1:2" x14ac:dyDescent="0.3">
      <c r="A37" s="7" t="s">
        <v>239</v>
      </c>
      <c r="B37">
        <v>81</v>
      </c>
    </row>
    <row r="38" spans="1:2" x14ac:dyDescent="0.3">
      <c r="A38" s="7" t="s">
        <v>841</v>
      </c>
      <c r="B38">
        <v>83</v>
      </c>
    </row>
    <row r="39" spans="1:2" x14ac:dyDescent="0.3">
      <c r="A39" s="7" t="s">
        <v>263</v>
      </c>
      <c r="B39">
        <v>83</v>
      </c>
    </row>
    <row r="40" spans="1:2" x14ac:dyDescent="0.3">
      <c r="A40" s="7" t="s">
        <v>222</v>
      </c>
      <c r="B40">
        <v>88</v>
      </c>
    </row>
    <row r="41" spans="1:2" x14ac:dyDescent="0.3">
      <c r="A41" s="7" t="s">
        <v>790</v>
      </c>
      <c r="B41">
        <v>82</v>
      </c>
    </row>
    <row r="42" spans="1:2" x14ac:dyDescent="0.3">
      <c r="A42" s="7" t="s">
        <v>435</v>
      </c>
      <c r="B42">
        <v>87</v>
      </c>
    </row>
    <row r="43" spans="1:2" x14ac:dyDescent="0.3">
      <c r="A43" s="7" t="s">
        <v>30</v>
      </c>
      <c r="B43">
        <v>93</v>
      </c>
    </row>
    <row r="44" spans="1:2" x14ac:dyDescent="0.3">
      <c r="A44" s="7" t="s">
        <v>802</v>
      </c>
      <c r="B44">
        <v>76</v>
      </c>
    </row>
    <row r="45" spans="1:2" x14ac:dyDescent="0.3">
      <c r="A45" s="7" t="s">
        <v>719</v>
      </c>
      <c r="B45">
        <v>75</v>
      </c>
    </row>
    <row r="46" spans="1:2" x14ac:dyDescent="0.3">
      <c r="A46" s="7" t="s">
        <v>350</v>
      </c>
      <c r="B46">
        <v>82</v>
      </c>
    </row>
    <row r="47" spans="1:2" x14ac:dyDescent="0.3">
      <c r="A47" s="7" t="s">
        <v>286</v>
      </c>
      <c r="B47">
        <v>78</v>
      </c>
    </row>
    <row r="48" spans="1:2" x14ac:dyDescent="0.3">
      <c r="A48" s="7" t="s">
        <v>420</v>
      </c>
      <c r="B48">
        <v>86</v>
      </c>
    </row>
    <row r="49" spans="1:2" x14ac:dyDescent="0.3">
      <c r="A49" s="7" t="s">
        <v>754</v>
      </c>
      <c r="B49">
        <v>83</v>
      </c>
    </row>
    <row r="50" spans="1:2" x14ac:dyDescent="0.3">
      <c r="A50" s="7" t="s">
        <v>169</v>
      </c>
      <c r="B50">
        <v>90</v>
      </c>
    </row>
    <row r="51" spans="1:2" x14ac:dyDescent="0.3">
      <c r="A51" s="7" t="s">
        <v>661</v>
      </c>
      <c r="B51">
        <v>85</v>
      </c>
    </row>
    <row r="52" spans="1:2" x14ac:dyDescent="0.3">
      <c r="A52" s="7" t="s">
        <v>886</v>
      </c>
      <c r="B52">
        <v>80</v>
      </c>
    </row>
    <row r="53" spans="1:2" x14ac:dyDescent="0.3">
      <c r="A53" s="7" t="s">
        <v>318</v>
      </c>
      <c r="B53">
        <v>83</v>
      </c>
    </row>
    <row r="54" spans="1:2" x14ac:dyDescent="0.3">
      <c r="A54" s="7" t="s">
        <v>345</v>
      </c>
      <c r="B54">
        <v>86</v>
      </c>
    </row>
    <row r="55" spans="1:2" x14ac:dyDescent="0.3">
      <c r="A55" s="7" t="s">
        <v>212</v>
      </c>
      <c r="B55">
        <v>85</v>
      </c>
    </row>
    <row r="56" spans="1:2" x14ac:dyDescent="0.3">
      <c r="A56" s="7" t="s">
        <v>682</v>
      </c>
      <c r="B56">
        <v>81</v>
      </c>
    </row>
    <row r="57" spans="1:2" x14ac:dyDescent="0.3">
      <c r="A57" s="7" t="s">
        <v>501</v>
      </c>
      <c r="B57">
        <v>84</v>
      </c>
    </row>
    <row r="58" spans="1:2" x14ac:dyDescent="0.3">
      <c r="A58" s="7" t="s">
        <v>739</v>
      </c>
      <c r="B58">
        <v>84</v>
      </c>
    </row>
    <row r="59" spans="1:2" x14ac:dyDescent="0.3">
      <c r="A59" s="7" t="s">
        <v>394</v>
      </c>
      <c r="B59">
        <v>80</v>
      </c>
    </row>
    <row r="60" spans="1:2" x14ac:dyDescent="0.3">
      <c r="A60" s="7" t="s">
        <v>511</v>
      </c>
      <c r="B60">
        <v>85</v>
      </c>
    </row>
    <row r="61" spans="1:2" x14ac:dyDescent="0.3">
      <c r="A61" s="7" t="s">
        <v>750</v>
      </c>
      <c r="B61">
        <v>84</v>
      </c>
    </row>
    <row r="62" spans="1:2" x14ac:dyDescent="0.3">
      <c r="A62" s="7" t="s">
        <v>827</v>
      </c>
      <c r="B62">
        <v>84</v>
      </c>
    </row>
    <row r="63" spans="1:2" x14ac:dyDescent="0.3">
      <c r="A63" s="7" t="s">
        <v>529</v>
      </c>
      <c r="B63">
        <v>81</v>
      </c>
    </row>
    <row r="64" spans="1:2" x14ac:dyDescent="0.3">
      <c r="A64" s="7" t="s">
        <v>648</v>
      </c>
      <c r="B64">
        <v>83</v>
      </c>
    </row>
    <row r="65" spans="1:2" x14ac:dyDescent="0.3">
      <c r="A65" s="7" t="s">
        <v>573</v>
      </c>
      <c r="B65">
        <v>85</v>
      </c>
    </row>
    <row r="66" spans="1:2" x14ac:dyDescent="0.3">
      <c r="A66" s="7" t="s">
        <v>84</v>
      </c>
      <c r="B66">
        <v>90</v>
      </c>
    </row>
    <row r="67" spans="1:2" x14ac:dyDescent="0.3">
      <c r="A67" s="7" t="s">
        <v>610</v>
      </c>
      <c r="B67">
        <v>81</v>
      </c>
    </row>
    <row r="68" spans="1:2" x14ac:dyDescent="0.3">
      <c r="A68" s="7" t="s">
        <v>882</v>
      </c>
      <c r="B68">
        <v>78</v>
      </c>
    </row>
    <row r="69" spans="1:2" x14ac:dyDescent="0.3">
      <c r="A69" s="7" t="s">
        <v>105</v>
      </c>
      <c r="B69">
        <v>90</v>
      </c>
    </row>
    <row r="70" spans="1:2" x14ac:dyDescent="0.3">
      <c r="A70" s="7" t="s">
        <v>122</v>
      </c>
      <c r="B70">
        <v>90</v>
      </c>
    </row>
    <row r="71" spans="1:2" x14ac:dyDescent="0.3">
      <c r="A71" s="7" t="s">
        <v>252</v>
      </c>
      <c r="B71">
        <v>84</v>
      </c>
    </row>
    <row r="72" spans="1:2" x14ac:dyDescent="0.3">
      <c r="A72" s="7" t="s">
        <v>257</v>
      </c>
      <c r="B72">
        <v>87</v>
      </c>
    </row>
    <row r="73" spans="1:2" x14ac:dyDescent="0.3">
      <c r="A73" s="7" t="s">
        <v>784</v>
      </c>
      <c r="B73">
        <v>47</v>
      </c>
    </row>
    <row r="74" spans="1:2" x14ac:dyDescent="0.3">
      <c r="A74" s="7" t="s">
        <v>567</v>
      </c>
      <c r="B74">
        <v>82</v>
      </c>
    </row>
    <row r="75" spans="1:2" x14ac:dyDescent="0.3">
      <c r="A75" s="7" t="s">
        <v>78</v>
      </c>
      <c r="B75">
        <v>91</v>
      </c>
    </row>
    <row r="76" spans="1:2" x14ac:dyDescent="0.3">
      <c r="A76" s="7" t="s">
        <v>699</v>
      </c>
      <c r="B76">
        <v>84</v>
      </c>
    </row>
    <row r="77" spans="1:2" x14ac:dyDescent="0.3">
      <c r="A77" s="7" t="s">
        <v>209</v>
      </c>
      <c r="B77">
        <v>88</v>
      </c>
    </row>
    <row r="78" spans="1:2" x14ac:dyDescent="0.3">
      <c r="A78" s="7" t="s">
        <v>272</v>
      </c>
      <c r="B78">
        <v>85</v>
      </c>
    </row>
    <row r="79" spans="1:2" x14ac:dyDescent="0.3">
      <c r="A79" s="7" t="s">
        <v>873</v>
      </c>
      <c r="B79">
        <v>81</v>
      </c>
    </row>
    <row r="80" spans="1:2" x14ac:dyDescent="0.3">
      <c r="A80" s="7" t="s">
        <v>442</v>
      </c>
      <c r="B80">
        <v>22</v>
      </c>
    </row>
    <row r="81" spans="1:2" x14ac:dyDescent="0.3">
      <c r="A81" s="7" t="s">
        <v>375</v>
      </c>
      <c r="B81">
        <v>80</v>
      </c>
    </row>
    <row r="82" spans="1:2" x14ac:dyDescent="0.3">
      <c r="A82" s="7" t="s">
        <v>117</v>
      </c>
      <c r="B82">
        <v>89</v>
      </c>
    </row>
    <row r="83" spans="1:2" x14ac:dyDescent="0.3">
      <c r="A83" s="7" t="s">
        <v>462</v>
      </c>
      <c r="B83">
        <v>85</v>
      </c>
    </row>
    <row r="84" spans="1:2" x14ac:dyDescent="0.3">
      <c r="A84" s="7" t="s">
        <v>776</v>
      </c>
      <c r="B84">
        <v>77</v>
      </c>
    </row>
    <row r="85" spans="1:2" x14ac:dyDescent="0.3">
      <c r="A85" s="7" t="s">
        <v>743</v>
      </c>
      <c r="B85">
        <v>83</v>
      </c>
    </row>
    <row r="86" spans="1:2" x14ac:dyDescent="0.3">
      <c r="A86" s="7" t="s">
        <v>301</v>
      </c>
      <c r="B86">
        <v>82</v>
      </c>
    </row>
    <row r="87" spans="1:2" x14ac:dyDescent="0.3">
      <c r="A87" s="7" t="s">
        <v>665</v>
      </c>
      <c r="B87">
        <v>81</v>
      </c>
    </row>
    <row r="88" spans="1:2" x14ac:dyDescent="0.3">
      <c r="A88" s="7" t="s">
        <v>645</v>
      </c>
      <c r="B88">
        <v>73</v>
      </c>
    </row>
    <row r="89" spans="1:2" x14ac:dyDescent="0.3">
      <c r="A89" s="7" t="s">
        <v>372</v>
      </c>
      <c r="B89">
        <v>86</v>
      </c>
    </row>
    <row r="90" spans="1:2" x14ac:dyDescent="0.3">
      <c r="A90" s="7" t="s">
        <v>355</v>
      </c>
      <c r="B90">
        <v>85</v>
      </c>
    </row>
    <row r="91" spans="1:2" x14ac:dyDescent="0.3">
      <c r="A91" s="7" t="s">
        <v>334</v>
      </c>
      <c r="B91">
        <v>84</v>
      </c>
    </row>
    <row r="92" spans="1:2" x14ac:dyDescent="0.3">
      <c r="A92" s="7" t="s">
        <v>584</v>
      </c>
      <c r="B92">
        <v>42</v>
      </c>
    </row>
    <row r="93" spans="1:2" x14ac:dyDescent="0.3">
      <c r="A93" s="7" t="s">
        <v>703</v>
      </c>
      <c r="B93">
        <v>58</v>
      </c>
    </row>
    <row r="94" spans="1:2" x14ac:dyDescent="0.3">
      <c r="A94" s="7" t="s">
        <v>816</v>
      </c>
      <c r="B94">
        <v>83</v>
      </c>
    </row>
    <row r="95" spans="1:2" x14ac:dyDescent="0.3">
      <c r="A95" s="7" t="s">
        <v>589</v>
      </c>
      <c r="B95">
        <v>85</v>
      </c>
    </row>
    <row r="96" spans="1:2" x14ac:dyDescent="0.3">
      <c r="A96" s="7" t="s">
        <v>877</v>
      </c>
      <c r="B96">
        <v>79</v>
      </c>
    </row>
    <row r="97" spans="1:2" x14ac:dyDescent="0.3">
      <c r="A97" s="7" t="s">
        <v>506</v>
      </c>
      <c r="B97">
        <v>82</v>
      </c>
    </row>
    <row r="98" spans="1:2" x14ac:dyDescent="0.3">
      <c r="A98" s="7" t="s">
        <v>687</v>
      </c>
      <c r="B98">
        <v>75</v>
      </c>
    </row>
    <row r="99" spans="1:2" x14ac:dyDescent="0.3">
      <c r="A99" s="7" t="s">
        <v>400</v>
      </c>
      <c r="B99">
        <v>86</v>
      </c>
    </row>
    <row r="100" spans="1:2" x14ac:dyDescent="0.3">
      <c r="A100" s="7" t="s">
        <v>24</v>
      </c>
      <c r="B100">
        <v>90</v>
      </c>
    </row>
    <row r="101" spans="1:2" x14ac:dyDescent="0.3">
      <c r="A101" s="7" t="s">
        <v>486</v>
      </c>
      <c r="B101">
        <v>81</v>
      </c>
    </row>
    <row r="102" spans="1:2" x14ac:dyDescent="0.3">
      <c r="A102" s="7" t="s">
        <v>759</v>
      </c>
      <c r="B102">
        <v>76</v>
      </c>
    </row>
    <row r="103" spans="1:2" x14ac:dyDescent="0.3">
      <c r="A103" s="7" t="s">
        <v>551</v>
      </c>
      <c r="B103">
        <v>85</v>
      </c>
    </row>
    <row r="104" spans="1:2" x14ac:dyDescent="0.3">
      <c r="A104" s="7" t="s">
        <v>217</v>
      </c>
      <c r="B104">
        <v>70</v>
      </c>
    </row>
    <row r="105" spans="1:2" x14ac:dyDescent="0.3">
      <c r="A105" s="7" t="s">
        <v>428</v>
      </c>
      <c r="B105">
        <v>83</v>
      </c>
    </row>
    <row r="106" spans="1:2" x14ac:dyDescent="0.3">
      <c r="A106" s="7" t="s">
        <v>17</v>
      </c>
      <c r="B106">
        <v>91</v>
      </c>
    </row>
    <row r="107" spans="1:2" x14ac:dyDescent="0.3">
      <c r="A107" s="7" t="s">
        <v>467</v>
      </c>
      <c r="B107">
        <v>76</v>
      </c>
    </row>
    <row r="108" spans="1:2" x14ac:dyDescent="0.3">
      <c r="A108" s="7" t="s">
        <v>476</v>
      </c>
      <c r="B108">
        <v>80</v>
      </c>
    </row>
    <row r="109" spans="1:2" x14ac:dyDescent="0.3">
      <c r="A109" s="7" t="s">
        <v>111</v>
      </c>
      <c r="B109">
        <v>89</v>
      </c>
    </row>
    <row r="110" spans="1:2" x14ac:dyDescent="0.3">
      <c r="A110" s="7" t="s">
        <v>160</v>
      </c>
      <c r="B110">
        <v>86</v>
      </c>
    </row>
    <row r="111" spans="1:2" x14ac:dyDescent="0.3">
      <c r="A111" s="7" t="s">
        <v>42</v>
      </c>
      <c r="B111">
        <v>91</v>
      </c>
    </row>
    <row r="112" spans="1:2" x14ac:dyDescent="0.3">
      <c r="A112" s="7" t="s">
        <v>795</v>
      </c>
      <c r="B112">
        <v>78</v>
      </c>
    </row>
    <row r="113" spans="1:2" x14ac:dyDescent="0.3">
      <c r="A113" s="7" t="s">
        <v>60</v>
      </c>
      <c r="B113">
        <v>89</v>
      </c>
    </row>
    <row r="114" spans="1:2" x14ac:dyDescent="0.3">
      <c r="A114" s="7" t="s">
        <v>855</v>
      </c>
      <c r="B114">
        <v>63</v>
      </c>
    </row>
    <row r="115" spans="1:2" x14ac:dyDescent="0.3">
      <c r="A115" s="7" t="s">
        <v>133</v>
      </c>
      <c r="B115">
        <v>88</v>
      </c>
    </row>
    <row r="116" spans="1:2" x14ac:dyDescent="0.3">
      <c r="A116" s="7" t="s">
        <v>72</v>
      </c>
      <c r="B116">
        <v>90</v>
      </c>
    </row>
    <row r="117" spans="1:2" x14ac:dyDescent="0.3">
      <c r="A117" s="7" t="s">
        <v>128</v>
      </c>
      <c r="B117">
        <v>92</v>
      </c>
    </row>
    <row r="118" spans="1:2" x14ac:dyDescent="0.3">
      <c r="A118" s="7" t="s">
        <v>297</v>
      </c>
      <c r="B118">
        <v>85</v>
      </c>
    </row>
    <row r="119" spans="1:2" x14ac:dyDescent="0.3">
      <c r="A119" s="7" t="s">
        <v>391</v>
      </c>
      <c r="B119">
        <v>83</v>
      </c>
    </row>
    <row r="120" spans="1:2" x14ac:dyDescent="0.3">
      <c r="A120" s="7" t="s">
        <v>381</v>
      </c>
      <c r="B120">
        <v>42</v>
      </c>
    </row>
    <row r="121" spans="1:2" x14ac:dyDescent="0.3">
      <c r="A121" s="7" t="s">
        <v>628</v>
      </c>
      <c r="B121">
        <v>83</v>
      </c>
    </row>
    <row r="122" spans="1:2" x14ac:dyDescent="0.3">
      <c r="A122" s="7" t="s">
        <v>249</v>
      </c>
      <c r="B122">
        <v>86</v>
      </c>
    </row>
    <row r="123" spans="1:2" x14ac:dyDescent="0.3">
      <c r="A123" s="7" t="s">
        <v>405</v>
      </c>
      <c r="B123">
        <v>87</v>
      </c>
    </row>
    <row r="124" spans="1:2" x14ac:dyDescent="0.3">
      <c r="A124" s="7" t="s">
        <v>307</v>
      </c>
      <c r="B124">
        <v>87</v>
      </c>
    </row>
    <row r="125" spans="1:2" x14ac:dyDescent="0.3">
      <c r="A125" s="7" t="s">
        <v>66</v>
      </c>
      <c r="B125">
        <v>91</v>
      </c>
    </row>
    <row r="126" spans="1:2" x14ac:dyDescent="0.3">
      <c r="A126" s="7" t="s">
        <v>525</v>
      </c>
      <c r="B126">
        <v>85</v>
      </c>
    </row>
    <row r="127" spans="1:2" x14ac:dyDescent="0.3">
      <c r="A127" s="7" t="s">
        <v>95</v>
      </c>
      <c r="B127">
        <v>89</v>
      </c>
    </row>
    <row r="128" spans="1:2" x14ac:dyDescent="0.3">
      <c r="A128" s="7" t="s">
        <v>668</v>
      </c>
      <c r="B128">
        <v>85</v>
      </c>
    </row>
    <row r="129" spans="1:2" x14ac:dyDescent="0.3">
      <c r="A129" s="7" t="s">
        <v>267</v>
      </c>
      <c r="B129">
        <v>76</v>
      </c>
    </row>
    <row r="130" spans="1:2" x14ac:dyDescent="0.3">
      <c r="A130" s="7" t="s">
        <v>439</v>
      </c>
      <c r="B130">
        <v>87</v>
      </c>
    </row>
    <row r="131" spans="1:2" x14ac:dyDescent="0.3">
      <c r="A131" s="7" t="s">
        <v>600</v>
      </c>
      <c r="B131">
        <v>84</v>
      </c>
    </row>
    <row r="132" spans="1:2" x14ac:dyDescent="0.3">
      <c r="A132" s="7" t="s">
        <v>472</v>
      </c>
      <c r="B132">
        <v>86</v>
      </c>
    </row>
    <row r="133" spans="1:2" x14ac:dyDescent="0.3">
      <c r="A133" s="7" t="s">
        <v>341</v>
      </c>
      <c r="B133">
        <v>85</v>
      </c>
    </row>
    <row r="134" spans="1:2" x14ac:dyDescent="0.3">
      <c r="A134" s="7" t="s">
        <v>640</v>
      </c>
      <c r="B134">
        <v>83</v>
      </c>
    </row>
    <row r="135" spans="1:2" x14ac:dyDescent="0.3">
      <c r="A135" s="7" t="s">
        <v>811</v>
      </c>
      <c r="B135">
        <v>84</v>
      </c>
    </row>
    <row r="136" spans="1:2" x14ac:dyDescent="0.3">
      <c r="A136" s="7" t="s">
        <v>397</v>
      </c>
      <c r="B136">
        <v>86</v>
      </c>
    </row>
    <row r="137" spans="1:2" x14ac:dyDescent="0.3">
      <c r="A137" s="7" t="s">
        <v>145</v>
      </c>
      <c r="B137">
        <v>75</v>
      </c>
    </row>
    <row r="138" spans="1:2" x14ac:dyDescent="0.3">
      <c r="A138" s="7" t="s">
        <v>869</v>
      </c>
      <c r="B138">
        <v>71</v>
      </c>
    </row>
    <row r="139" spans="1:2" x14ac:dyDescent="0.3">
      <c r="A139" s="7" t="s">
        <v>454</v>
      </c>
      <c r="B139">
        <v>82</v>
      </c>
    </row>
    <row r="140" spans="1:2" x14ac:dyDescent="0.3">
      <c r="A140" s="7" t="s">
        <v>605</v>
      </c>
      <c r="B140">
        <v>85</v>
      </c>
    </row>
    <row r="141" spans="1:2" x14ac:dyDescent="0.3">
      <c r="A141" s="7" t="s">
        <v>729</v>
      </c>
      <c r="B141">
        <v>83</v>
      </c>
    </row>
    <row r="142" spans="1:2" x14ac:dyDescent="0.3">
      <c r="A142" s="7" t="s">
        <v>534</v>
      </c>
      <c r="B142">
        <v>57</v>
      </c>
    </row>
    <row r="143" spans="1:2" x14ac:dyDescent="0.3">
      <c r="A143" s="7" t="s">
        <v>537</v>
      </c>
      <c r="B143">
        <v>85</v>
      </c>
    </row>
    <row r="144" spans="1:2" x14ac:dyDescent="0.3">
      <c r="A144" s="7" t="s">
        <v>595</v>
      </c>
      <c r="B144">
        <v>76</v>
      </c>
    </row>
    <row r="145" spans="1:2" x14ac:dyDescent="0.3">
      <c r="A145" s="7" t="s">
        <v>494</v>
      </c>
      <c r="B145">
        <v>86</v>
      </c>
    </row>
    <row r="146" spans="1:2" x14ac:dyDescent="0.3">
      <c r="A146" s="7" t="s">
        <v>769</v>
      </c>
      <c r="B146">
        <v>85</v>
      </c>
    </row>
    <row r="147" spans="1:2" x14ac:dyDescent="0.3">
      <c r="A147" s="7" t="s">
        <v>232</v>
      </c>
      <c r="B147">
        <v>85</v>
      </c>
    </row>
    <row r="148" spans="1:2" x14ac:dyDescent="0.3">
      <c r="A148" s="7" t="s">
        <v>707</v>
      </c>
      <c r="B148">
        <v>74</v>
      </c>
    </row>
    <row r="149" spans="1:2" x14ac:dyDescent="0.3">
      <c r="A149" s="7" t="s">
        <v>519</v>
      </c>
      <c r="B149">
        <v>86</v>
      </c>
    </row>
    <row r="150" spans="1:2" x14ac:dyDescent="0.3">
      <c r="A150" s="7" t="s">
        <v>200</v>
      </c>
      <c r="B150">
        <v>85</v>
      </c>
    </row>
    <row r="151" spans="1:2" x14ac:dyDescent="0.3">
      <c r="A151" s="7" t="s">
        <v>185</v>
      </c>
      <c r="B151">
        <v>90</v>
      </c>
    </row>
    <row r="152" spans="1:2" x14ac:dyDescent="0.3">
      <c r="A152" s="7" t="s">
        <v>289</v>
      </c>
      <c r="B152">
        <v>87</v>
      </c>
    </row>
    <row r="153" spans="1:2" x14ac:dyDescent="0.3">
      <c r="A153" s="7" t="s">
        <v>772</v>
      </c>
      <c r="B153">
        <v>84</v>
      </c>
    </row>
    <row r="154" spans="1:2" x14ac:dyDescent="0.3">
      <c r="A154" s="7" t="s">
        <v>195</v>
      </c>
      <c r="B154">
        <v>74</v>
      </c>
    </row>
    <row r="155" spans="1:2" x14ac:dyDescent="0.3">
      <c r="A155" s="7" t="s">
        <v>515</v>
      </c>
      <c r="B155">
        <v>85</v>
      </c>
    </row>
    <row r="156" spans="1:2" x14ac:dyDescent="0.3">
      <c r="A156" s="7" t="s">
        <v>838</v>
      </c>
      <c r="B156">
        <v>77</v>
      </c>
    </row>
    <row r="157" spans="1:2" x14ac:dyDescent="0.3">
      <c r="A157" s="7" t="s">
        <v>431</v>
      </c>
      <c r="B157">
        <v>74</v>
      </c>
    </row>
    <row r="158" spans="1:2" x14ac:dyDescent="0.3">
      <c r="A158" s="7" t="s">
        <v>656</v>
      </c>
      <c r="B158">
        <v>85</v>
      </c>
    </row>
    <row r="159" spans="1:2" x14ac:dyDescent="0.3">
      <c r="A159" s="7" t="s">
        <v>277</v>
      </c>
      <c r="B159">
        <v>83</v>
      </c>
    </row>
    <row r="160" spans="1:2" x14ac:dyDescent="0.3">
      <c r="A160" s="7" t="s">
        <v>150</v>
      </c>
      <c r="B160">
        <v>88</v>
      </c>
    </row>
    <row r="161" spans="1:2" x14ac:dyDescent="0.3">
      <c r="A161" s="7" t="s">
        <v>235</v>
      </c>
      <c r="B161">
        <v>86</v>
      </c>
    </row>
    <row r="162" spans="1:2" x14ac:dyDescent="0.3">
      <c r="A162" s="7" t="s">
        <v>826</v>
      </c>
      <c r="B162">
        <v>68</v>
      </c>
    </row>
    <row r="163" spans="1:2" x14ac:dyDescent="0.3">
      <c r="A163" s="7" t="s">
        <v>853</v>
      </c>
      <c r="B163">
        <v>84</v>
      </c>
    </row>
    <row r="164" spans="1:2" x14ac:dyDescent="0.3">
      <c r="A164" s="7" t="s">
        <v>561</v>
      </c>
      <c r="B164">
        <v>80</v>
      </c>
    </row>
    <row r="165" spans="1:2" x14ac:dyDescent="0.3">
      <c r="A165" s="7" t="s">
        <v>710</v>
      </c>
      <c r="B165">
        <v>80</v>
      </c>
    </row>
    <row r="166" spans="1:2" x14ac:dyDescent="0.3">
      <c r="A166" s="7" t="s">
        <v>10</v>
      </c>
      <c r="B166">
        <v>92</v>
      </c>
    </row>
    <row r="167" spans="1:2" x14ac:dyDescent="0.3">
      <c r="A167" s="7" t="s">
        <v>781</v>
      </c>
      <c r="B167">
        <v>81</v>
      </c>
    </row>
    <row r="168" spans="1:2" x14ac:dyDescent="0.3">
      <c r="A168" s="7" t="s">
        <v>715</v>
      </c>
      <c r="B168">
        <v>79</v>
      </c>
    </row>
    <row r="169" spans="1:2" x14ac:dyDescent="0.3">
      <c r="A169" s="7" t="s">
        <v>386</v>
      </c>
      <c r="B169">
        <v>86</v>
      </c>
    </row>
    <row r="170" spans="1:2" x14ac:dyDescent="0.3">
      <c r="A170" s="7" t="s">
        <v>179</v>
      </c>
      <c r="B170">
        <v>86</v>
      </c>
    </row>
    <row r="171" spans="1:2" x14ac:dyDescent="0.3">
      <c r="A171" s="7" t="s">
        <v>489</v>
      </c>
      <c r="B171">
        <v>80</v>
      </c>
    </row>
    <row r="172" spans="1:2" x14ac:dyDescent="0.3">
      <c r="A172" s="7" t="s">
        <v>174</v>
      </c>
      <c r="B172">
        <v>85</v>
      </c>
    </row>
    <row r="173" spans="1:2" x14ac:dyDescent="0.3">
      <c r="A173" s="7" t="s">
        <v>624</v>
      </c>
      <c r="B173">
        <v>86</v>
      </c>
    </row>
    <row r="174" spans="1:2" x14ac:dyDescent="0.3">
      <c r="A174" s="7" t="s">
        <v>313</v>
      </c>
      <c r="B174">
        <v>77</v>
      </c>
    </row>
    <row r="175" spans="1:2" x14ac:dyDescent="0.3">
      <c r="A175" s="7" t="s">
        <v>614</v>
      </c>
      <c r="B175">
        <v>85</v>
      </c>
    </row>
    <row r="176" spans="1:2" x14ac:dyDescent="0.3">
      <c r="A176" s="7" t="s">
        <v>293</v>
      </c>
      <c r="B176">
        <v>78</v>
      </c>
    </row>
    <row r="177" spans="1:2" x14ac:dyDescent="0.3">
      <c r="A177" s="7" t="s">
        <v>619</v>
      </c>
      <c r="B177">
        <v>84</v>
      </c>
    </row>
    <row r="178" spans="1:2" x14ac:dyDescent="0.3">
      <c r="A178" s="7" t="s">
        <v>637</v>
      </c>
      <c r="B178">
        <v>80</v>
      </c>
    </row>
    <row r="179" spans="1:2" x14ac:dyDescent="0.3">
      <c r="A179" s="7" t="s">
        <v>847</v>
      </c>
      <c r="B179">
        <v>79</v>
      </c>
    </row>
    <row r="180" spans="1:2" x14ac:dyDescent="0.3">
      <c r="A180" s="7" t="s">
        <v>830</v>
      </c>
      <c r="B180">
        <v>80</v>
      </c>
    </row>
    <row r="181" spans="1:2" x14ac:dyDescent="0.3">
      <c r="A181" s="7" t="s">
        <v>513</v>
      </c>
      <c r="B181">
        <v>85</v>
      </c>
    </row>
    <row r="182" spans="1:2" x14ac:dyDescent="0.3">
      <c r="A182" s="7" t="s">
        <v>189</v>
      </c>
      <c r="B182">
        <v>73</v>
      </c>
    </row>
    <row r="183" spans="1:2" x14ac:dyDescent="0.3">
      <c r="A183" s="7" t="s">
        <v>54</v>
      </c>
      <c r="B183">
        <v>92</v>
      </c>
    </row>
    <row r="184" spans="1:2" x14ac:dyDescent="0.3">
      <c r="A184" s="7" t="s">
        <v>410</v>
      </c>
      <c r="B184">
        <v>79</v>
      </c>
    </row>
    <row r="185" spans="1:2" x14ac:dyDescent="0.3">
      <c r="A185" s="7" t="s">
        <v>417</v>
      </c>
      <c r="B185">
        <v>76</v>
      </c>
    </row>
    <row r="186" spans="1:2" x14ac:dyDescent="0.3">
      <c r="A186" s="7" t="s">
        <v>798</v>
      </c>
      <c r="B186">
        <v>81</v>
      </c>
    </row>
    <row r="187" spans="1:2" x14ac:dyDescent="0.3">
      <c r="A187" s="7" t="s">
        <v>156</v>
      </c>
      <c r="B187">
        <v>88</v>
      </c>
    </row>
    <row r="188" spans="1:2" x14ac:dyDescent="0.3">
      <c r="A188" s="7" t="s">
        <v>633</v>
      </c>
      <c r="B188">
        <v>83</v>
      </c>
    </row>
    <row r="189" spans="1:2" x14ac:dyDescent="0.3">
      <c r="A189" s="7" t="s">
        <v>445</v>
      </c>
      <c r="B189">
        <v>85</v>
      </c>
    </row>
    <row r="190" spans="1:2" x14ac:dyDescent="0.3">
      <c r="A190" s="7" t="s">
        <v>48</v>
      </c>
      <c r="B190">
        <v>92</v>
      </c>
    </row>
    <row r="191" spans="1:2" x14ac:dyDescent="0.3">
      <c r="A191" s="7" t="s">
        <v>360</v>
      </c>
      <c r="B191">
        <v>85</v>
      </c>
    </row>
    <row r="192" spans="1:2" x14ac:dyDescent="0.3">
      <c r="A192" s="7" t="s">
        <v>735</v>
      </c>
      <c r="B192">
        <v>85</v>
      </c>
    </row>
    <row r="193" spans="1:2" x14ac:dyDescent="0.3">
      <c r="A193" s="7" t="s">
        <v>765</v>
      </c>
      <c r="B193">
        <v>83</v>
      </c>
    </row>
    <row r="194" spans="1:2" x14ac:dyDescent="0.3">
      <c r="A194" s="7" t="s">
        <v>324</v>
      </c>
      <c r="B194">
        <v>82</v>
      </c>
    </row>
    <row r="195" spans="1:2" x14ac:dyDescent="0.3">
      <c r="A195" s="7" t="s">
        <v>677</v>
      </c>
      <c r="B195">
        <v>85</v>
      </c>
    </row>
    <row r="196" spans="1:2" x14ac:dyDescent="0.3">
      <c r="A196" s="7" t="s">
        <v>274</v>
      </c>
      <c r="B196">
        <v>82</v>
      </c>
    </row>
    <row r="197" spans="1:2" x14ac:dyDescent="0.3">
      <c r="A197" s="7" t="s">
        <v>338</v>
      </c>
      <c r="B197">
        <v>85</v>
      </c>
    </row>
    <row r="198" spans="1:2" x14ac:dyDescent="0.3">
      <c r="A198" s="7" t="s">
        <v>833</v>
      </c>
      <c r="B198">
        <v>83</v>
      </c>
    </row>
    <row r="199" spans="1:2" x14ac:dyDescent="0.3">
      <c r="A199" s="7" t="s">
        <v>459</v>
      </c>
      <c r="B199">
        <v>84</v>
      </c>
    </row>
    <row r="200" spans="1:2" x14ac:dyDescent="0.3">
      <c r="A200" s="7" t="s">
        <v>672</v>
      </c>
      <c r="B200">
        <v>85</v>
      </c>
    </row>
    <row r="201" spans="1:2" x14ac:dyDescent="0.3">
      <c r="A201" s="7" t="s">
        <v>367</v>
      </c>
      <c r="B201">
        <v>86</v>
      </c>
    </row>
    <row r="202" spans="1:2" x14ac:dyDescent="0.3">
      <c r="A202" s="7" t="s">
        <v>544</v>
      </c>
      <c r="B202">
        <v>85</v>
      </c>
    </row>
    <row r="203" spans="1:2" x14ac:dyDescent="0.3">
      <c r="A203" s="7">
        <v>433</v>
      </c>
      <c r="B203">
        <v>79</v>
      </c>
    </row>
    <row r="204" spans="1:2" x14ac:dyDescent="0.3">
      <c r="A204" s="7" t="s">
        <v>903</v>
      </c>
      <c r="B204">
        <v>16364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1A596-6F3D-4CC1-9E64-E5146781EC59}">
  <dimension ref="A2:G30"/>
  <sheetViews>
    <sheetView showGridLines="0" workbookViewId="0">
      <selection activeCell="E27" sqref="E27"/>
    </sheetView>
  </sheetViews>
  <sheetFormatPr defaultRowHeight="14.4" x14ac:dyDescent="0.3"/>
  <cols>
    <col min="1" max="1" width="18.44140625" bestFit="1" customWidth="1"/>
    <col min="2" max="2" width="16.5546875" bestFit="1" customWidth="1"/>
    <col min="3" max="3" width="29" bestFit="1" customWidth="1"/>
  </cols>
  <sheetData>
    <row r="2" spans="1:7" ht="18" x14ac:dyDescent="0.35">
      <c r="G2" s="8" t="s">
        <v>909</v>
      </c>
    </row>
    <row r="3" spans="1:7" x14ac:dyDescent="0.3">
      <c r="A3" s="6" t="s">
        <v>902</v>
      </c>
      <c r="B3" t="s">
        <v>905</v>
      </c>
      <c r="C3" t="s">
        <v>906</v>
      </c>
    </row>
    <row r="4" spans="1:7" x14ac:dyDescent="0.3">
      <c r="A4" s="7" t="s">
        <v>651</v>
      </c>
      <c r="B4">
        <v>1</v>
      </c>
      <c r="C4" s="2">
        <v>1.7487980769230769</v>
      </c>
    </row>
    <row r="5" spans="1:7" x14ac:dyDescent="0.3">
      <c r="A5" s="7" t="s">
        <v>390</v>
      </c>
      <c r="B5">
        <v>1</v>
      </c>
      <c r="C5" s="2">
        <v>3.7567084078711988</v>
      </c>
    </row>
    <row r="6" spans="1:7" x14ac:dyDescent="0.3">
      <c r="A6" s="7" t="s">
        <v>127</v>
      </c>
      <c r="B6">
        <v>13</v>
      </c>
      <c r="C6" s="2">
        <v>0.65180088308794781</v>
      </c>
    </row>
    <row r="7" spans="1:7" x14ac:dyDescent="0.3">
      <c r="A7" s="7" t="s">
        <v>780</v>
      </c>
      <c r="B7">
        <v>1</v>
      </c>
      <c r="C7" s="2">
        <v>0.17944444444444443</v>
      </c>
    </row>
    <row r="8" spans="1:7" x14ac:dyDescent="0.3">
      <c r="A8" s="7" t="s">
        <v>609</v>
      </c>
      <c r="B8">
        <v>1</v>
      </c>
      <c r="C8" s="2">
        <v>3.6613272311212817</v>
      </c>
    </row>
    <row r="9" spans="1:7" x14ac:dyDescent="0.3">
      <c r="A9" s="7" t="s">
        <v>71</v>
      </c>
      <c r="B9">
        <v>3</v>
      </c>
      <c r="C9" s="2">
        <v>2.340683287713988</v>
      </c>
    </row>
    <row r="10" spans="1:7" x14ac:dyDescent="0.3">
      <c r="A10" s="7" t="s">
        <v>337</v>
      </c>
      <c r="B10">
        <v>3</v>
      </c>
      <c r="C10" s="2">
        <v>0.71966140691766389</v>
      </c>
    </row>
    <row r="11" spans="1:7" x14ac:dyDescent="0.3">
      <c r="A11" s="7" t="s">
        <v>789</v>
      </c>
      <c r="B11">
        <v>1</v>
      </c>
      <c r="C11" s="2">
        <v>0.79637883008356547</v>
      </c>
    </row>
    <row r="12" spans="1:7" x14ac:dyDescent="0.3">
      <c r="A12" s="7" t="s">
        <v>349</v>
      </c>
      <c r="B12">
        <v>6</v>
      </c>
      <c r="C12" s="2">
        <v>0.7026976926281856</v>
      </c>
    </row>
    <row r="13" spans="1:7" x14ac:dyDescent="0.3">
      <c r="A13" s="7" t="s">
        <v>852</v>
      </c>
      <c r="B13">
        <v>1</v>
      </c>
      <c r="C13" s="2">
        <v>0.22700296735905043</v>
      </c>
    </row>
    <row r="14" spans="1:7" x14ac:dyDescent="0.3">
      <c r="A14" s="7" t="s">
        <v>256</v>
      </c>
      <c r="B14">
        <v>12</v>
      </c>
      <c r="C14" s="2">
        <v>2.3431953415523359</v>
      </c>
    </row>
    <row r="15" spans="1:7" x14ac:dyDescent="0.3">
      <c r="A15" s="7" t="s">
        <v>323</v>
      </c>
      <c r="B15">
        <v>7</v>
      </c>
      <c r="C15" s="2">
        <v>0.24484400321507779</v>
      </c>
    </row>
    <row r="16" spans="1:7" x14ac:dyDescent="0.3">
      <c r="A16" s="7" t="s">
        <v>500</v>
      </c>
      <c r="B16">
        <v>1</v>
      </c>
      <c r="C16" s="2">
        <v>0.14775510204081632</v>
      </c>
    </row>
    <row r="17" spans="1:3" x14ac:dyDescent="0.3">
      <c r="A17" s="7" t="s">
        <v>797</v>
      </c>
      <c r="B17">
        <v>2</v>
      </c>
      <c r="C17" s="2">
        <v>4.264317895847709</v>
      </c>
    </row>
    <row r="18" spans="1:3" x14ac:dyDescent="0.3">
      <c r="A18" s="7" t="s">
        <v>178</v>
      </c>
      <c r="B18">
        <v>2</v>
      </c>
      <c r="C18" s="2">
        <v>1.2995329483695652</v>
      </c>
    </row>
    <row r="19" spans="1:3" x14ac:dyDescent="0.3">
      <c r="A19" s="7" t="s">
        <v>566</v>
      </c>
      <c r="B19">
        <v>1</v>
      </c>
      <c r="C19" s="2">
        <v>0.99193899782135075</v>
      </c>
    </row>
    <row r="20" spans="1:3" x14ac:dyDescent="0.3">
      <c r="A20" s="7" t="s">
        <v>860</v>
      </c>
      <c r="B20">
        <v>1</v>
      </c>
      <c r="C20" s="2">
        <v>0.65880597014925368</v>
      </c>
    </row>
    <row r="21" spans="1:3" x14ac:dyDescent="0.3">
      <c r="A21" s="7" t="s">
        <v>16</v>
      </c>
      <c r="B21">
        <v>5</v>
      </c>
      <c r="C21" s="2">
        <v>0.77597501653768597</v>
      </c>
    </row>
    <row r="22" spans="1:3" x14ac:dyDescent="0.3">
      <c r="A22" s="7" t="s">
        <v>734</v>
      </c>
      <c r="B22">
        <v>1</v>
      </c>
      <c r="C22" s="2">
        <v>5.8181818181818182E-2</v>
      </c>
    </row>
    <row r="23" spans="1:3" x14ac:dyDescent="0.3">
      <c r="A23" s="7" t="s">
        <v>664</v>
      </c>
      <c r="B23">
        <v>1</v>
      </c>
      <c r="C23" s="2">
        <v>0.73357843137254908</v>
      </c>
    </row>
    <row r="24" spans="1:3" x14ac:dyDescent="0.3">
      <c r="A24" s="7" t="s">
        <v>306</v>
      </c>
      <c r="B24">
        <v>2</v>
      </c>
      <c r="C24" s="2">
        <v>0.519343958780346</v>
      </c>
    </row>
    <row r="25" spans="1:3" x14ac:dyDescent="0.3">
      <c r="A25" s="7" t="s">
        <v>533</v>
      </c>
      <c r="B25">
        <v>1</v>
      </c>
      <c r="C25" s="2">
        <v>0.28118393234672306</v>
      </c>
    </row>
    <row r="26" spans="1:3" x14ac:dyDescent="0.3">
      <c r="A26" s="7" t="s">
        <v>199</v>
      </c>
      <c r="B26">
        <v>4</v>
      </c>
      <c r="C26" s="2">
        <v>1.0318675781342992</v>
      </c>
    </row>
    <row r="27" spans="1:3" x14ac:dyDescent="0.3">
      <c r="A27" s="7" t="s">
        <v>23</v>
      </c>
      <c r="B27">
        <v>66</v>
      </c>
      <c r="C27" s="2">
        <v>1.3753514136028568</v>
      </c>
    </row>
    <row r="28" spans="1:3" x14ac:dyDescent="0.3">
      <c r="A28" s="7" t="s">
        <v>891</v>
      </c>
      <c r="B28">
        <v>62</v>
      </c>
      <c r="C28" s="2">
        <v>3.09384000104414</v>
      </c>
    </row>
    <row r="29" spans="1:3" x14ac:dyDescent="0.3">
      <c r="A29" s="7" t="s">
        <v>296</v>
      </c>
      <c r="B29">
        <v>1</v>
      </c>
      <c r="C29" s="2">
        <v>5.3811659192825108</v>
      </c>
    </row>
    <row r="30" spans="1:3" x14ac:dyDescent="0.3">
      <c r="A30" s="7" t="s">
        <v>903</v>
      </c>
      <c r="B30">
        <v>200</v>
      </c>
      <c r="C30" s="2">
        <v>1.8654508116684243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E46E4-8EFF-4A97-B465-6921C58A8EED}">
  <dimension ref="A2:G397"/>
  <sheetViews>
    <sheetView showGridLines="0" zoomScaleNormal="100" workbookViewId="0">
      <selection activeCell="B2" sqref="B2"/>
    </sheetView>
  </sheetViews>
  <sheetFormatPr defaultRowHeight="14.4" x14ac:dyDescent="0.3"/>
  <cols>
    <col min="1" max="1" width="21.77734375" bestFit="1" customWidth="1"/>
    <col min="2" max="2" width="23.6640625" bestFit="1" customWidth="1"/>
    <col min="3" max="3" width="23.21875" bestFit="1" customWidth="1"/>
    <col min="4" max="4" width="23.6640625" bestFit="1" customWidth="1"/>
    <col min="6" max="6" width="22.21875" customWidth="1"/>
    <col min="7" max="7" width="20.109375" customWidth="1"/>
  </cols>
  <sheetData>
    <row r="2" spans="1:6" ht="18" x14ac:dyDescent="0.35">
      <c r="F2" s="8" t="s">
        <v>912</v>
      </c>
    </row>
    <row r="3" spans="1:6" x14ac:dyDescent="0.3">
      <c r="A3" s="6" t="s">
        <v>902</v>
      </c>
      <c r="B3" t="s">
        <v>910</v>
      </c>
      <c r="C3" t="s">
        <v>911</v>
      </c>
    </row>
    <row r="4" spans="1:6" x14ac:dyDescent="0.3">
      <c r="A4" s="7">
        <v>433</v>
      </c>
      <c r="B4" s="3">
        <v>863200</v>
      </c>
      <c r="C4" s="3">
        <v>51200000</v>
      </c>
    </row>
    <row r="5" spans="1:6" x14ac:dyDescent="0.3">
      <c r="A5" s="7" t="s">
        <v>544</v>
      </c>
      <c r="B5" s="3">
        <v>157000</v>
      </c>
      <c r="C5" s="3">
        <v>46500000</v>
      </c>
    </row>
    <row r="6" spans="1:6" x14ac:dyDescent="0.3">
      <c r="A6" s="7" t="s">
        <v>367</v>
      </c>
      <c r="B6" s="3">
        <v>672600</v>
      </c>
      <c r="C6" s="3">
        <v>58100000</v>
      </c>
    </row>
    <row r="7" spans="1:6" x14ac:dyDescent="0.3">
      <c r="A7" s="7" t="s">
        <v>672</v>
      </c>
      <c r="B7" s="3">
        <v>3100000</v>
      </c>
      <c r="C7" s="3">
        <v>40100000</v>
      </c>
    </row>
    <row r="8" spans="1:6" x14ac:dyDescent="0.3">
      <c r="A8" s="7" t="s">
        <v>459</v>
      </c>
      <c r="B8" s="3">
        <v>4700000</v>
      </c>
      <c r="C8" s="3">
        <v>50700000</v>
      </c>
    </row>
    <row r="9" spans="1:6" x14ac:dyDescent="0.3">
      <c r="A9" s="7" t="s">
        <v>833</v>
      </c>
      <c r="B9" s="3">
        <v>136200</v>
      </c>
      <c r="C9" s="3">
        <v>34200000</v>
      </c>
    </row>
    <row r="10" spans="1:6" x14ac:dyDescent="0.3">
      <c r="A10" s="7" t="s">
        <v>338</v>
      </c>
      <c r="B10" s="3">
        <v>1500000</v>
      </c>
      <c r="C10" s="3">
        <v>62800000</v>
      </c>
    </row>
    <row r="11" spans="1:6" x14ac:dyDescent="0.3">
      <c r="A11" s="7" t="s">
        <v>274</v>
      </c>
      <c r="B11" s="3">
        <v>1800000</v>
      </c>
      <c r="C11" s="3">
        <v>68700000</v>
      </c>
    </row>
    <row r="12" spans="1:6" x14ac:dyDescent="0.3">
      <c r="A12" s="7" t="s">
        <v>677</v>
      </c>
      <c r="B12" s="3">
        <v>250800</v>
      </c>
      <c r="C12" s="3">
        <v>40000000</v>
      </c>
    </row>
    <row r="13" spans="1:6" x14ac:dyDescent="0.3">
      <c r="A13" s="7" t="s">
        <v>324</v>
      </c>
      <c r="B13" s="3">
        <v>855500</v>
      </c>
      <c r="C13" s="3">
        <v>63100000</v>
      </c>
    </row>
    <row r="14" spans="1:6" x14ac:dyDescent="0.3">
      <c r="A14" s="7" t="s">
        <v>765</v>
      </c>
      <c r="B14" s="3">
        <v>1100000</v>
      </c>
      <c r="C14" s="3">
        <v>36500000</v>
      </c>
    </row>
    <row r="15" spans="1:6" x14ac:dyDescent="0.3">
      <c r="A15" s="7" t="s">
        <v>735</v>
      </c>
      <c r="B15" s="3">
        <v>695400</v>
      </c>
      <c r="C15" s="3">
        <v>38300000</v>
      </c>
    </row>
    <row r="16" spans="1:6" x14ac:dyDescent="0.3">
      <c r="A16" s="7" t="s">
        <v>360</v>
      </c>
      <c r="B16" s="3">
        <v>1900000</v>
      </c>
      <c r="C16" s="3">
        <v>59500000</v>
      </c>
    </row>
    <row r="17" spans="1:3" x14ac:dyDescent="0.3">
      <c r="A17" s="7" t="s">
        <v>48</v>
      </c>
      <c r="B17" s="3">
        <v>3700000</v>
      </c>
      <c r="C17" s="3">
        <v>327700000</v>
      </c>
    </row>
    <row r="18" spans="1:3" x14ac:dyDescent="0.3">
      <c r="A18" s="7" t="s">
        <v>445</v>
      </c>
      <c r="B18" s="3">
        <v>147300</v>
      </c>
      <c r="C18" s="3">
        <v>52400000</v>
      </c>
    </row>
    <row r="19" spans="1:3" x14ac:dyDescent="0.3">
      <c r="A19" s="7" t="s">
        <v>633</v>
      </c>
      <c r="B19" s="3">
        <v>3700000</v>
      </c>
      <c r="C19" s="3">
        <v>42100000</v>
      </c>
    </row>
    <row r="20" spans="1:3" x14ac:dyDescent="0.3">
      <c r="A20" s="7" t="s">
        <v>156</v>
      </c>
      <c r="B20" s="3">
        <v>3700000</v>
      </c>
      <c r="C20" s="3">
        <v>135300000</v>
      </c>
    </row>
    <row r="21" spans="1:3" x14ac:dyDescent="0.3">
      <c r="A21" s="7" t="s">
        <v>798</v>
      </c>
      <c r="B21" s="3">
        <v>1100000</v>
      </c>
      <c r="C21" s="3">
        <v>35400000</v>
      </c>
    </row>
    <row r="22" spans="1:3" x14ac:dyDescent="0.3">
      <c r="A22" s="7" t="s">
        <v>417</v>
      </c>
      <c r="B22" s="3">
        <v>1400000</v>
      </c>
      <c r="C22" s="3">
        <v>53500000</v>
      </c>
    </row>
    <row r="23" spans="1:3" x14ac:dyDescent="0.3">
      <c r="A23" s="7" t="s">
        <v>410</v>
      </c>
      <c r="B23" s="3">
        <v>1100000</v>
      </c>
      <c r="C23" s="3">
        <v>54100000</v>
      </c>
    </row>
    <row r="24" spans="1:3" x14ac:dyDescent="0.3">
      <c r="A24" s="7" t="s">
        <v>54</v>
      </c>
      <c r="B24" s="3">
        <v>3600000</v>
      </c>
      <c r="C24" s="3">
        <v>272800000</v>
      </c>
    </row>
    <row r="25" spans="1:3" x14ac:dyDescent="0.3">
      <c r="A25" s="7" t="s">
        <v>189</v>
      </c>
      <c r="B25" s="3">
        <v>8500000</v>
      </c>
      <c r="C25" s="3">
        <v>105200000</v>
      </c>
    </row>
    <row r="26" spans="1:3" x14ac:dyDescent="0.3">
      <c r="A26" s="7" t="s">
        <v>513</v>
      </c>
      <c r="B26" s="3">
        <v>2100000</v>
      </c>
      <c r="C26" s="3">
        <v>48200000</v>
      </c>
    </row>
    <row r="27" spans="1:3" x14ac:dyDescent="0.3">
      <c r="A27" s="7" t="s">
        <v>830</v>
      </c>
      <c r="B27" s="3">
        <v>3100000</v>
      </c>
      <c r="C27" s="3">
        <v>34600000</v>
      </c>
    </row>
    <row r="28" spans="1:3" x14ac:dyDescent="0.3">
      <c r="A28" s="7" t="s">
        <v>847</v>
      </c>
      <c r="B28" s="3">
        <v>231300</v>
      </c>
      <c r="C28" s="3">
        <v>33700000</v>
      </c>
    </row>
    <row r="29" spans="1:3" x14ac:dyDescent="0.3">
      <c r="A29" s="7" t="s">
        <v>637</v>
      </c>
      <c r="B29" s="3">
        <v>513100</v>
      </c>
      <c r="C29" s="3">
        <v>42100000</v>
      </c>
    </row>
    <row r="30" spans="1:3" x14ac:dyDescent="0.3">
      <c r="A30" s="7" t="s">
        <v>619</v>
      </c>
      <c r="B30" s="3">
        <v>969700</v>
      </c>
      <c r="C30" s="3">
        <v>43100000</v>
      </c>
    </row>
    <row r="31" spans="1:3" x14ac:dyDescent="0.3">
      <c r="A31" s="7" t="s">
        <v>293</v>
      </c>
      <c r="B31" s="3">
        <v>4099999.9999999995</v>
      </c>
      <c r="C31" s="3">
        <v>66900000.000000007</v>
      </c>
    </row>
    <row r="32" spans="1:3" x14ac:dyDescent="0.3">
      <c r="A32" s="7" t="s">
        <v>614</v>
      </c>
      <c r="B32" s="3">
        <v>65099.999999999993</v>
      </c>
      <c r="C32" s="3">
        <v>43200000</v>
      </c>
    </row>
    <row r="33" spans="1:3" x14ac:dyDescent="0.3">
      <c r="A33" s="7" t="s">
        <v>313</v>
      </c>
      <c r="B33" s="3">
        <v>1900000</v>
      </c>
      <c r="C33" s="3">
        <v>65000000</v>
      </c>
    </row>
    <row r="34" spans="1:3" x14ac:dyDescent="0.3">
      <c r="A34" s="7" t="s">
        <v>624</v>
      </c>
      <c r="B34" s="3">
        <v>790200</v>
      </c>
      <c r="C34" s="3">
        <v>42900000</v>
      </c>
    </row>
    <row r="35" spans="1:3" x14ac:dyDescent="0.3">
      <c r="A35" s="7" t="s">
        <v>174</v>
      </c>
      <c r="B35" s="3">
        <v>1700000</v>
      </c>
      <c r="C35" s="3">
        <v>119600000</v>
      </c>
    </row>
    <row r="36" spans="1:3" x14ac:dyDescent="0.3">
      <c r="A36" s="7" t="s">
        <v>489</v>
      </c>
      <c r="B36" s="3">
        <v>4200000</v>
      </c>
      <c r="C36" s="3">
        <v>49100000</v>
      </c>
    </row>
    <row r="37" spans="1:3" x14ac:dyDescent="0.3">
      <c r="A37" s="7" t="s">
        <v>179</v>
      </c>
      <c r="B37" s="3">
        <v>463200</v>
      </c>
      <c r="C37" s="3">
        <v>118500000</v>
      </c>
    </row>
    <row r="38" spans="1:3" x14ac:dyDescent="0.3">
      <c r="A38" s="7" t="s">
        <v>386</v>
      </c>
      <c r="B38" s="3">
        <v>2800000</v>
      </c>
      <c r="C38" s="3">
        <v>55900000</v>
      </c>
    </row>
    <row r="39" spans="1:3" x14ac:dyDescent="0.3">
      <c r="A39" s="7" t="s">
        <v>715</v>
      </c>
      <c r="B39" s="3">
        <v>623100</v>
      </c>
      <c r="C39" s="3">
        <v>38900000</v>
      </c>
    </row>
    <row r="40" spans="1:3" x14ac:dyDescent="0.3">
      <c r="A40" s="7" t="s">
        <v>781</v>
      </c>
      <c r="B40" s="3">
        <v>2200000</v>
      </c>
      <c r="C40" s="3">
        <v>35900000</v>
      </c>
    </row>
    <row r="41" spans="1:3" x14ac:dyDescent="0.3">
      <c r="A41" s="7" t="s">
        <v>10</v>
      </c>
      <c r="B41" s="3">
        <v>8700000</v>
      </c>
      <c r="C41" s="3">
        <v>475800000</v>
      </c>
    </row>
    <row r="42" spans="1:3" x14ac:dyDescent="0.3">
      <c r="A42" s="7" t="s">
        <v>710</v>
      </c>
      <c r="B42" s="3">
        <v>815800</v>
      </c>
      <c r="C42" s="3">
        <v>39000000</v>
      </c>
    </row>
    <row r="43" spans="1:3" x14ac:dyDescent="0.3">
      <c r="A43" s="7" t="s">
        <v>561</v>
      </c>
      <c r="B43" s="3">
        <v>652500</v>
      </c>
      <c r="C43" s="3">
        <v>45900000</v>
      </c>
    </row>
    <row r="44" spans="1:3" x14ac:dyDescent="0.3">
      <c r="A44" s="7" t="s">
        <v>853</v>
      </c>
      <c r="B44" s="3">
        <v>2000000</v>
      </c>
      <c r="C44" s="3">
        <v>33600000</v>
      </c>
    </row>
    <row r="45" spans="1:3" x14ac:dyDescent="0.3">
      <c r="A45" s="7" t="s">
        <v>826</v>
      </c>
      <c r="B45" s="3">
        <v>1500000</v>
      </c>
      <c r="C45" s="3">
        <v>34700000</v>
      </c>
    </row>
    <row r="46" spans="1:3" x14ac:dyDescent="0.3">
      <c r="A46" s="7" t="s">
        <v>235</v>
      </c>
      <c r="B46" s="3">
        <v>1200000</v>
      </c>
      <c r="C46" s="3">
        <v>74900000</v>
      </c>
    </row>
    <row r="47" spans="1:3" x14ac:dyDescent="0.3">
      <c r="A47" s="7" t="s">
        <v>150</v>
      </c>
      <c r="B47" s="3">
        <v>1100000</v>
      </c>
      <c r="C47" s="3">
        <v>139100000</v>
      </c>
    </row>
    <row r="48" spans="1:3" x14ac:dyDescent="0.3">
      <c r="A48" s="7" t="s">
        <v>277</v>
      </c>
      <c r="B48" s="3">
        <v>1600000</v>
      </c>
      <c r="C48" s="3">
        <v>68400000</v>
      </c>
    </row>
    <row r="49" spans="1:3" x14ac:dyDescent="0.3">
      <c r="A49" s="7" t="s">
        <v>656</v>
      </c>
      <c r="B49" s="3">
        <v>88800</v>
      </c>
      <c r="C49" s="3">
        <v>41500000</v>
      </c>
    </row>
    <row r="50" spans="1:3" x14ac:dyDescent="0.3">
      <c r="A50" s="7" t="s">
        <v>431</v>
      </c>
      <c r="B50" s="3">
        <v>1600000</v>
      </c>
      <c r="C50" s="3">
        <v>53000000</v>
      </c>
    </row>
    <row r="51" spans="1:3" x14ac:dyDescent="0.3">
      <c r="A51" s="7" t="s">
        <v>838</v>
      </c>
      <c r="B51" s="3">
        <v>185200</v>
      </c>
      <c r="C51" s="3">
        <v>34200000</v>
      </c>
    </row>
    <row r="52" spans="1:3" x14ac:dyDescent="0.3">
      <c r="A52" s="7" t="s">
        <v>515</v>
      </c>
      <c r="B52" s="3">
        <v>1600000</v>
      </c>
      <c r="C52" s="3">
        <v>48200000</v>
      </c>
    </row>
    <row r="53" spans="1:3" x14ac:dyDescent="0.3">
      <c r="A53" s="7" t="s">
        <v>195</v>
      </c>
      <c r="B53" s="3">
        <v>2100000</v>
      </c>
      <c r="C53" s="3">
        <v>85900000</v>
      </c>
    </row>
    <row r="54" spans="1:3" x14ac:dyDescent="0.3">
      <c r="A54" s="7" t="s">
        <v>772</v>
      </c>
      <c r="B54" s="3">
        <v>1100000</v>
      </c>
      <c r="C54" s="3">
        <v>36400000</v>
      </c>
    </row>
    <row r="55" spans="1:3" x14ac:dyDescent="0.3">
      <c r="A55" s="7" t="s">
        <v>289</v>
      </c>
      <c r="B55" s="3">
        <v>1900000</v>
      </c>
      <c r="C55" s="3">
        <v>67300000</v>
      </c>
    </row>
    <row r="56" spans="1:3" x14ac:dyDescent="0.3">
      <c r="A56" s="7" t="s">
        <v>185</v>
      </c>
      <c r="B56" s="3">
        <v>1200000</v>
      </c>
      <c r="C56" s="3">
        <v>111400000</v>
      </c>
    </row>
    <row r="57" spans="1:3" x14ac:dyDescent="0.3">
      <c r="A57" s="7" t="s">
        <v>200</v>
      </c>
      <c r="B57" s="3">
        <v>1400000</v>
      </c>
      <c r="C57" s="3">
        <v>85600000</v>
      </c>
    </row>
    <row r="58" spans="1:3" x14ac:dyDescent="0.3">
      <c r="A58" s="7" t="s">
        <v>519</v>
      </c>
      <c r="B58" s="3">
        <v>763000</v>
      </c>
      <c r="C58" s="3">
        <v>48100000</v>
      </c>
    </row>
    <row r="59" spans="1:3" x14ac:dyDescent="0.3">
      <c r="A59" s="7" t="s">
        <v>707</v>
      </c>
      <c r="B59" s="3">
        <v>2200000</v>
      </c>
      <c r="C59" s="3">
        <v>39100000</v>
      </c>
    </row>
    <row r="60" spans="1:3" x14ac:dyDescent="0.3">
      <c r="A60" s="7" t="s">
        <v>232</v>
      </c>
      <c r="B60" s="3">
        <v>2500000</v>
      </c>
      <c r="C60" s="3">
        <v>75300000</v>
      </c>
    </row>
    <row r="61" spans="1:3" x14ac:dyDescent="0.3">
      <c r="A61" s="7" t="s">
        <v>769</v>
      </c>
      <c r="B61" s="3">
        <v>150500</v>
      </c>
      <c r="C61" s="3">
        <v>36500000</v>
      </c>
    </row>
    <row r="62" spans="1:3" x14ac:dyDescent="0.3">
      <c r="A62" s="7" t="s">
        <v>494</v>
      </c>
      <c r="B62" s="3">
        <v>115100</v>
      </c>
      <c r="C62" s="3">
        <v>49000000</v>
      </c>
    </row>
    <row r="63" spans="1:3" x14ac:dyDescent="0.3">
      <c r="A63" s="7" t="s">
        <v>595</v>
      </c>
      <c r="B63" s="3">
        <v>475100</v>
      </c>
      <c r="C63" s="3">
        <v>43900000</v>
      </c>
    </row>
    <row r="64" spans="1:3" x14ac:dyDescent="0.3">
      <c r="A64" s="7" t="s">
        <v>537</v>
      </c>
      <c r="B64" s="3">
        <v>2000000</v>
      </c>
      <c r="C64" s="3">
        <v>46900000</v>
      </c>
    </row>
    <row r="65" spans="1:3" x14ac:dyDescent="0.3">
      <c r="A65" s="7" t="s">
        <v>534</v>
      </c>
      <c r="B65" s="3">
        <v>4700000</v>
      </c>
      <c r="C65" s="3">
        <v>46900000</v>
      </c>
    </row>
    <row r="66" spans="1:3" x14ac:dyDescent="0.3">
      <c r="A66" s="7" t="s">
        <v>729</v>
      </c>
      <c r="B66" s="3">
        <v>88400</v>
      </c>
      <c r="C66" s="3">
        <v>38500000</v>
      </c>
    </row>
    <row r="67" spans="1:3" x14ac:dyDescent="0.3">
      <c r="A67" s="7" t="s">
        <v>605</v>
      </c>
      <c r="B67" s="3">
        <v>1600000</v>
      </c>
      <c r="C67" s="3">
        <v>43700000</v>
      </c>
    </row>
    <row r="68" spans="1:3" x14ac:dyDescent="0.3">
      <c r="A68" s="7" t="s">
        <v>454</v>
      </c>
      <c r="B68" s="3">
        <v>186400</v>
      </c>
      <c r="C68" s="3">
        <v>50800000</v>
      </c>
    </row>
    <row r="69" spans="1:3" x14ac:dyDescent="0.3">
      <c r="A69" s="7" t="s">
        <v>869</v>
      </c>
      <c r="B69" s="3">
        <v>623800</v>
      </c>
      <c r="C69" s="3">
        <v>33200000.000000004</v>
      </c>
    </row>
    <row r="70" spans="1:3" x14ac:dyDescent="0.3">
      <c r="A70" s="7" t="s">
        <v>145</v>
      </c>
      <c r="B70" s="3">
        <v>3100000</v>
      </c>
      <c r="C70" s="3">
        <v>140500000</v>
      </c>
    </row>
    <row r="71" spans="1:3" x14ac:dyDescent="0.3">
      <c r="A71" s="7" t="s">
        <v>397</v>
      </c>
      <c r="B71" s="3">
        <v>1500000</v>
      </c>
      <c r="C71" s="3">
        <v>55100000</v>
      </c>
    </row>
    <row r="72" spans="1:3" x14ac:dyDescent="0.3">
      <c r="A72" s="7" t="s">
        <v>811</v>
      </c>
      <c r="B72" s="3">
        <v>226400</v>
      </c>
      <c r="C72" s="3">
        <v>34800000</v>
      </c>
    </row>
    <row r="73" spans="1:3" x14ac:dyDescent="0.3">
      <c r="A73" s="7" t="s">
        <v>640</v>
      </c>
      <c r="B73" s="3">
        <v>14200000</v>
      </c>
      <c r="C73" s="3">
        <v>41900000</v>
      </c>
    </row>
    <row r="74" spans="1:3" x14ac:dyDescent="0.3">
      <c r="A74" s="7" t="s">
        <v>341</v>
      </c>
      <c r="B74" s="3">
        <v>1100000</v>
      </c>
      <c r="C74" s="3">
        <v>62700000</v>
      </c>
    </row>
    <row r="75" spans="1:3" x14ac:dyDescent="0.3">
      <c r="A75" s="7" t="s">
        <v>472</v>
      </c>
      <c r="B75" s="3">
        <v>1400000</v>
      </c>
      <c r="C75" s="3">
        <v>49900000</v>
      </c>
    </row>
    <row r="76" spans="1:3" x14ac:dyDescent="0.3">
      <c r="A76" s="7" t="s">
        <v>600</v>
      </c>
      <c r="B76" s="3">
        <v>1300000</v>
      </c>
      <c r="C76" s="3">
        <v>43800000</v>
      </c>
    </row>
    <row r="77" spans="1:3" x14ac:dyDescent="0.3">
      <c r="A77" s="7" t="s">
        <v>439</v>
      </c>
      <c r="B77" s="3">
        <v>878000</v>
      </c>
      <c r="C77" s="3">
        <v>52800000</v>
      </c>
    </row>
    <row r="78" spans="1:3" x14ac:dyDescent="0.3">
      <c r="A78" s="7" t="s">
        <v>267</v>
      </c>
      <c r="B78" s="3">
        <v>5100000</v>
      </c>
      <c r="C78" s="3">
        <v>68900000</v>
      </c>
    </row>
    <row r="79" spans="1:3" x14ac:dyDescent="0.3">
      <c r="A79" s="7" t="s">
        <v>668</v>
      </c>
      <c r="B79" s="3">
        <v>4600000</v>
      </c>
      <c r="C79" s="3">
        <v>40700000</v>
      </c>
    </row>
    <row r="80" spans="1:3" x14ac:dyDescent="0.3">
      <c r="A80" s="7" t="s">
        <v>95</v>
      </c>
      <c r="B80" s="3">
        <v>1700000</v>
      </c>
      <c r="C80" s="3">
        <v>220400000</v>
      </c>
    </row>
    <row r="81" spans="1:3" x14ac:dyDescent="0.3">
      <c r="A81" s="7" t="s">
        <v>525</v>
      </c>
      <c r="B81" s="3">
        <v>452600</v>
      </c>
      <c r="C81" s="3">
        <v>47700000</v>
      </c>
    </row>
    <row r="82" spans="1:3" x14ac:dyDescent="0.3">
      <c r="A82" s="7" t="s">
        <v>66</v>
      </c>
      <c r="B82" s="3">
        <v>1900000</v>
      </c>
      <c r="C82" s="3">
        <v>254500000</v>
      </c>
    </row>
    <row r="83" spans="1:3" x14ac:dyDescent="0.3">
      <c r="A83" s="7" t="s">
        <v>307</v>
      </c>
      <c r="B83" s="3">
        <v>600400</v>
      </c>
      <c r="C83" s="3">
        <v>65900000.000000007</v>
      </c>
    </row>
    <row r="84" spans="1:3" x14ac:dyDescent="0.3">
      <c r="A84" s="7" t="s">
        <v>405</v>
      </c>
      <c r="B84" s="3">
        <v>194800</v>
      </c>
      <c r="C84" s="3">
        <v>54500000</v>
      </c>
    </row>
    <row r="85" spans="1:3" x14ac:dyDescent="0.3">
      <c r="A85" s="7" t="s">
        <v>249</v>
      </c>
      <c r="B85" s="3">
        <v>2500000</v>
      </c>
      <c r="C85" s="3">
        <v>72700000</v>
      </c>
    </row>
    <row r="86" spans="1:3" x14ac:dyDescent="0.3">
      <c r="A86" s="7" t="s">
        <v>628</v>
      </c>
      <c r="B86" s="3">
        <v>736400</v>
      </c>
      <c r="C86" s="3">
        <v>42200000</v>
      </c>
    </row>
    <row r="87" spans="1:3" x14ac:dyDescent="0.3">
      <c r="A87" s="7" t="s">
        <v>381</v>
      </c>
      <c r="B87" s="3">
        <v>878500</v>
      </c>
      <c r="C87" s="3">
        <v>56900000</v>
      </c>
    </row>
    <row r="88" spans="1:3" x14ac:dyDescent="0.3">
      <c r="A88" s="7" t="s">
        <v>391</v>
      </c>
      <c r="B88" s="3">
        <v>3100000</v>
      </c>
      <c r="C88" s="3">
        <v>55600000</v>
      </c>
    </row>
    <row r="89" spans="1:3" x14ac:dyDescent="0.3">
      <c r="A89" s="7" t="s">
        <v>297</v>
      </c>
      <c r="B89" s="3">
        <v>1700000</v>
      </c>
      <c r="C89" s="3">
        <v>66300000</v>
      </c>
    </row>
    <row r="90" spans="1:3" x14ac:dyDescent="0.3">
      <c r="A90" s="7" t="s">
        <v>128</v>
      </c>
      <c r="B90" s="3">
        <v>715000</v>
      </c>
      <c r="C90" s="3">
        <v>170300000</v>
      </c>
    </row>
    <row r="91" spans="1:3" x14ac:dyDescent="0.3">
      <c r="A91" s="7" t="s">
        <v>72</v>
      </c>
      <c r="B91" s="3">
        <v>5500000</v>
      </c>
      <c r="C91" s="3">
        <v>254000000</v>
      </c>
    </row>
    <row r="92" spans="1:3" x14ac:dyDescent="0.3">
      <c r="A92" s="7" t="s">
        <v>133</v>
      </c>
      <c r="B92" s="3">
        <v>522000</v>
      </c>
      <c r="C92" s="3">
        <v>152000000</v>
      </c>
    </row>
    <row r="93" spans="1:3" x14ac:dyDescent="0.3">
      <c r="A93" s="7" t="s">
        <v>855</v>
      </c>
      <c r="B93" s="3">
        <v>685100</v>
      </c>
      <c r="C93" s="3">
        <v>33500000</v>
      </c>
    </row>
    <row r="94" spans="1:3" x14ac:dyDescent="0.3">
      <c r="A94" s="7" t="s">
        <v>60</v>
      </c>
      <c r="B94" s="3">
        <v>2400000</v>
      </c>
      <c r="C94" s="3">
        <v>268300000</v>
      </c>
    </row>
    <row r="95" spans="1:3" x14ac:dyDescent="0.3">
      <c r="A95" s="7" t="s">
        <v>795</v>
      </c>
      <c r="B95" s="3">
        <v>2600000</v>
      </c>
      <c r="C95" s="3">
        <v>35500000</v>
      </c>
    </row>
    <row r="96" spans="1:3" x14ac:dyDescent="0.3">
      <c r="A96" s="7" t="s">
        <v>42</v>
      </c>
      <c r="B96" s="3">
        <v>3500000</v>
      </c>
      <c r="C96" s="3">
        <v>329200000</v>
      </c>
    </row>
    <row r="97" spans="1:3" x14ac:dyDescent="0.3">
      <c r="A97" s="7" t="s">
        <v>160</v>
      </c>
      <c r="B97" s="3">
        <v>2100000</v>
      </c>
      <c r="C97" s="3">
        <v>130900000</v>
      </c>
    </row>
    <row r="98" spans="1:3" x14ac:dyDescent="0.3">
      <c r="A98" s="7" t="s">
        <v>111</v>
      </c>
      <c r="B98" s="3">
        <v>1800000</v>
      </c>
      <c r="C98" s="3">
        <v>195200000</v>
      </c>
    </row>
    <row r="99" spans="1:3" x14ac:dyDescent="0.3">
      <c r="A99" s="7" t="s">
        <v>476</v>
      </c>
      <c r="B99" s="3">
        <v>356800</v>
      </c>
      <c r="C99" s="3">
        <v>49700000</v>
      </c>
    </row>
    <row r="100" spans="1:3" x14ac:dyDescent="0.3">
      <c r="A100" s="7" t="s">
        <v>467</v>
      </c>
      <c r="B100" s="3">
        <v>897200</v>
      </c>
      <c r="C100" s="3">
        <v>50200000</v>
      </c>
    </row>
    <row r="101" spans="1:3" x14ac:dyDescent="0.3">
      <c r="A101" s="7" t="s">
        <v>17</v>
      </c>
      <c r="B101" s="3">
        <v>8300000.0000000009</v>
      </c>
      <c r="C101" s="3">
        <v>366200000</v>
      </c>
    </row>
    <row r="102" spans="1:3" x14ac:dyDescent="0.3">
      <c r="A102" s="7" t="s">
        <v>428</v>
      </c>
      <c r="B102" s="3">
        <v>1400000</v>
      </c>
      <c r="C102" s="3">
        <v>53200000</v>
      </c>
    </row>
    <row r="103" spans="1:3" x14ac:dyDescent="0.3">
      <c r="A103" s="7" t="s">
        <v>217</v>
      </c>
      <c r="B103" s="3">
        <v>5800000</v>
      </c>
      <c r="C103" s="3">
        <v>80900000</v>
      </c>
    </row>
    <row r="104" spans="1:3" x14ac:dyDescent="0.3">
      <c r="A104" s="7" t="s">
        <v>551</v>
      </c>
      <c r="B104" s="3">
        <v>579600</v>
      </c>
      <c r="C104" s="3">
        <v>46500000</v>
      </c>
    </row>
    <row r="105" spans="1:3" x14ac:dyDescent="0.3">
      <c r="A105" s="7" t="s">
        <v>759</v>
      </c>
      <c r="B105" s="3">
        <v>172800</v>
      </c>
      <c r="C105" s="3">
        <v>36900000</v>
      </c>
    </row>
    <row r="106" spans="1:3" x14ac:dyDescent="0.3">
      <c r="A106" s="7" t="s">
        <v>486</v>
      </c>
      <c r="B106" s="3">
        <v>2400000</v>
      </c>
      <c r="C106" s="3">
        <v>49200000</v>
      </c>
    </row>
    <row r="107" spans="1:3" x14ac:dyDescent="0.3">
      <c r="A107" s="7" t="s">
        <v>24</v>
      </c>
      <c r="B107" s="3">
        <v>6800000</v>
      </c>
      <c r="C107" s="3">
        <v>357300000</v>
      </c>
    </row>
    <row r="108" spans="1:3" x14ac:dyDescent="0.3">
      <c r="A108" s="7" t="s">
        <v>400</v>
      </c>
      <c r="B108" s="3">
        <v>395500</v>
      </c>
      <c r="C108" s="3">
        <v>54600000</v>
      </c>
    </row>
    <row r="109" spans="1:3" x14ac:dyDescent="0.3">
      <c r="A109" s="7" t="s">
        <v>687</v>
      </c>
      <c r="B109" s="3">
        <v>346700</v>
      </c>
      <c r="C109" s="3">
        <v>39900000</v>
      </c>
    </row>
    <row r="110" spans="1:3" x14ac:dyDescent="0.3">
      <c r="A110" s="7" t="s">
        <v>506</v>
      </c>
      <c r="B110" s="3">
        <v>127500</v>
      </c>
      <c r="C110" s="3">
        <v>48700000</v>
      </c>
    </row>
    <row r="111" spans="1:3" x14ac:dyDescent="0.3">
      <c r="A111" s="7" t="s">
        <v>877</v>
      </c>
      <c r="B111" s="3">
        <v>193300</v>
      </c>
      <c r="C111" s="3">
        <v>33200000.000000004</v>
      </c>
    </row>
    <row r="112" spans="1:3" x14ac:dyDescent="0.3">
      <c r="A112" s="7" t="s">
        <v>589</v>
      </c>
      <c r="B112" s="3">
        <v>801800</v>
      </c>
      <c r="C112" s="3">
        <v>44200000</v>
      </c>
    </row>
    <row r="113" spans="1:3" x14ac:dyDescent="0.3">
      <c r="A113" s="7" t="s">
        <v>816</v>
      </c>
      <c r="B113" s="3">
        <v>145400</v>
      </c>
      <c r="C113" s="3">
        <v>34800000</v>
      </c>
    </row>
    <row r="114" spans="1:3" x14ac:dyDescent="0.3">
      <c r="A114" s="7" t="s">
        <v>703</v>
      </c>
      <c r="B114" s="3">
        <v>4099999.9999999995</v>
      </c>
      <c r="C114" s="3">
        <v>39100000</v>
      </c>
    </row>
    <row r="115" spans="1:3" x14ac:dyDescent="0.3">
      <c r="A115" s="7" t="s">
        <v>584</v>
      </c>
      <c r="B115" s="3">
        <v>553000</v>
      </c>
      <c r="C115" s="3">
        <v>44500000</v>
      </c>
    </row>
    <row r="116" spans="1:3" x14ac:dyDescent="0.3">
      <c r="A116" s="7" t="s">
        <v>334</v>
      </c>
      <c r="B116" s="3">
        <v>1200000</v>
      </c>
      <c r="C116" s="3">
        <v>62800000</v>
      </c>
    </row>
    <row r="117" spans="1:3" x14ac:dyDescent="0.3">
      <c r="A117" s="7" t="s">
        <v>355</v>
      </c>
      <c r="B117" s="3">
        <v>381800</v>
      </c>
      <c r="C117" s="3">
        <v>59600000</v>
      </c>
    </row>
    <row r="118" spans="1:3" x14ac:dyDescent="0.3">
      <c r="A118" s="7" t="s">
        <v>372</v>
      </c>
      <c r="B118" s="3">
        <v>690900</v>
      </c>
      <c r="C118" s="3">
        <v>58100000</v>
      </c>
    </row>
    <row r="119" spans="1:3" x14ac:dyDescent="0.3">
      <c r="A119" s="7" t="s">
        <v>645</v>
      </c>
      <c r="B119" s="3">
        <v>1000000</v>
      </c>
      <c r="C119" s="3">
        <v>41800000</v>
      </c>
    </row>
    <row r="120" spans="1:3" x14ac:dyDescent="0.3">
      <c r="A120" s="7" t="s">
        <v>665</v>
      </c>
      <c r="B120" s="3">
        <v>586400</v>
      </c>
      <c r="C120" s="3">
        <v>40700000</v>
      </c>
    </row>
    <row r="121" spans="1:3" x14ac:dyDescent="0.3">
      <c r="A121" s="7" t="s">
        <v>301</v>
      </c>
      <c r="B121" s="3">
        <v>332300</v>
      </c>
      <c r="C121" s="3">
        <v>66200000</v>
      </c>
    </row>
    <row r="122" spans="1:3" x14ac:dyDescent="0.3">
      <c r="A122" s="7" t="s">
        <v>743</v>
      </c>
      <c r="B122" s="3">
        <v>594200</v>
      </c>
      <c r="C122" s="3">
        <v>38100000</v>
      </c>
    </row>
    <row r="123" spans="1:3" x14ac:dyDescent="0.3">
      <c r="A123" s="7" t="s">
        <v>776</v>
      </c>
      <c r="B123" s="3">
        <v>197900</v>
      </c>
      <c r="C123" s="3">
        <v>36000000</v>
      </c>
    </row>
    <row r="124" spans="1:3" x14ac:dyDescent="0.3">
      <c r="A124" s="7" t="s">
        <v>462</v>
      </c>
      <c r="B124" s="3">
        <v>700500</v>
      </c>
      <c r="C124" s="3">
        <v>50700000</v>
      </c>
    </row>
    <row r="125" spans="1:3" x14ac:dyDescent="0.3">
      <c r="A125" s="7" t="s">
        <v>117</v>
      </c>
      <c r="B125" s="3">
        <v>1300000</v>
      </c>
      <c r="C125" s="3">
        <v>181500000</v>
      </c>
    </row>
    <row r="126" spans="1:3" x14ac:dyDescent="0.3">
      <c r="A126" s="7" t="s">
        <v>375</v>
      </c>
      <c r="B126" s="3">
        <v>4000000</v>
      </c>
      <c r="C126" s="3">
        <v>57600000</v>
      </c>
    </row>
    <row r="127" spans="1:3" x14ac:dyDescent="0.3">
      <c r="A127" s="7" t="s">
        <v>442</v>
      </c>
      <c r="B127" s="3">
        <v>1800000</v>
      </c>
      <c r="C127" s="3">
        <v>52500000</v>
      </c>
    </row>
    <row r="128" spans="1:3" x14ac:dyDescent="0.3">
      <c r="A128" s="7" t="s">
        <v>873</v>
      </c>
      <c r="B128" s="3">
        <v>390400</v>
      </c>
      <c r="C128" s="3">
        <v>33200000.000000004</v>
      </c>
    </row>
    <row r="129" spans="1:3" x14ac:dyDescent="0.3">
      <c r="A129" s="7" t="s">
        <v>272</v>
      </c>
      <c r="B129" s="3">
        <v>2900000</v>
      </c>
      <c r="C129" s="3">
        <v>68900000</v>
      </c>
    </row>
    <row r="130" spans="1:3" x14ac:dyDescent="0.3">
      <c r="A130" s="7" t="s">
        <v>209</v>
      </c>
      <c r="B130" s="3">
        <v>1200000</v>
      </c>
      <c r="C130" s="3">
        <v>81300000</v>
      </c>
    </row>
    <row r="131" spans="1:3" x14ac:dyDescent="0.3">
      <c r="A131" s="7" t="s">
        <v>699</v>
      </c>
      <c r="B131" s="3">
        <v>486500</v>
      </c>
      <c r="C131" s="3">
        <v>39200000</v>
      </c>
    </row>
    <row r="132" spans="1:3" x14ac:dyDescent="0.3">
      <c r="A132" s="7" t="s">
        <v>78</v>
      </c>
      <c r="B132" s="3">
        <v>302200</v>
      </c>
      <c r="C132" s="3">
        <v>237000000</v>
      </c>
    </row>
    <row r="133" spans="1:3" x14ac:dyDescent="0.3">
      <c r="A133" s="7" t="s">
        <v>567</v>
      </c>
      <c r="B133" s="3">
        <v>189900</v>
      </c>
      <c r="C133" s="3">
        <v>45800000</v>
      </c>
    </row>
    <row r="134" spans="1:3" x14ac:dyDescent="0.3">
      <c r="A134" s="7" t="s">
        <v>784</v>
      </c>
      <c r="B134" s="3">
        <v>518100</v>
      </c>
      <c r="C134" s="3">
        <v>35900000</v>
      </c>
    </row>
    <row r="135" spans="1:3" x14ac:dyDescent="0.3">
      <c r="A135" s="7" t="s">
        <v>257</v>
      </c>
      <c r="B135" s="3">
        <v>370800</v>
      </c>
      <c r="C135" s="3">
        <v>70100000</v>
      </c>
    </row>
    <row r="136" spans="1:3" x14ac:dyDescent="0.3">
      <c r="A136" s="7" t="s">
        <v>252</v>
      </c>
      <c r="B136" s="3">
        <v>1500000</v>
      </c>
      <c r="C136" s="3">
        <v>70400000</v>
      </c>
    </row>
    <row r="137" spans="1:3" x14ac:dyDescent="0.3">
      <c r="A137" s="7" t="s">
        <v>122</v>
      </c>
      <c r="B137" s="3">
        <v>2700000</v>
      </c>
      <c r="C137" s="3">
        <v>177100000</v>
      </c>
    </row>
    <row r="138" spans="1:3" x14ac:dyDescent="0.3">
      <c r="A138" s="7" t="s">
        <v>105</v>
      </c>
      <c r="B138" s="3">
        <v>2100000</v>
      </c>
      <c r="C138" s="3">
        <v>201600000</v>
      </c>
    </row>
    <row r="139" spans="1:3" x14ac:dyDescent="0.3">
      <c r="A139" s="7" t="s">
        <v>882</v>
      </c>
      <c r="B139" s="3">
        <v>719600</v>
      </c>
      <c r="C139" s="3">
        <v>33000000</v>
      </c>
    </row>
    <row r="140" spans="1:3" x14ac:dyDescent="0.3">
      <c r="A140" s="7" t="s">
        <v>610</v>
      </c>
      <c r="B140" s="3">
        <v>381600</v>
      </c>
      <c r="C140" s="3">
        <v>43400000</v>
      </c>
    </row>
    <row r="141" spans="1:3" x14ac:dyDescent="0.3">
      <c r="A141" s="7" t="s">
        <v>84</v>
      </c>
      <c r="B141" s="3">
        <v>329000</v>
      </c>
      <c r="C141" s="3">
        <v>234100000</v>
      </c>
    </row>
    <row r="142" spans="1:3" x14ac:dyDescent="0.3">
      <c r="A142" s="7" t="s">
        <v>573</v>
      </c>
      <c r="B142" s="3">
        <v>431200</v>
      </c>
      <c r="C142" s="3">
        <v>45400000</v>
      </c>
    </row>
    <row r="143" spans="1:3" x14ac:dyDescent="0.3">
      <c r="A143" s="7" t="s">
        <v>648</v>
      </c>
      <c r="B143" s="3">
        <v>1400000</v>
      </c>
      <c r="C143" s="3">
        <v>41600000</v>
      </c>
    </row>
    <row r="144" spans="1:3" x14ac:dyDescent="0.3">
      <c r="A144" s="7" t="s">
        <v>529</v>
      </c>
      <c r="B144" s="3">
        <v>728200</v>
      </c>
      <c r="C144" s="3">
        <v>47300000</v>
      </c>
    </row>
    <row r="145" spans="1:3" x14ac:dyDescent="0.3">
      <c r="A145" s="7" t="s">
        <v>827</v>
      </c>
      <c r="B145" s="3">
        <v>367800</v>
      </c>
      <c r="C145" s="3">
        <v>34700000</v>
      </c>
    </row>
    <row r="146" spans="1:3" x14ac:dyDescent="0.3">
      <c r="A146" s="7" t="s">
        <v>750</v>
      </c>
      <c r="B146" s="3">
        <v>505700</v>
      </c>
      <c r="C146" s="3">
        <v>37400000</v>
      </c>
    </row>
    <row r="147" spans="1:3" x14ac:dyDescent="0.3">
      <c r="A147" s="7" t="s">
        <v>511</v>
      </c>
      <c r="B147" s="3">
        <v>1800000</v>
      </c>
      <c r="C147" s="3">
        <v>48300000</v>
      </c>
    </row>
    <row r="148" spans="1:3" x14ac:dyDescent="0.3">
      <c r="A148" s="7" t="s">
        <v>394</v>
      </c>
      <c r="B148" s="3">
        <v>1400000</v>
      </c>
      <c r="C148" s="3">
        <v>55200000</v>
      </c>
    </row>
    <row r="149" spans="1:3" x14ac:dyDescent="0.3">
      <c r="A149" s="7" t="s">
        <v>739</v>
      </c>
      <c r="B149" s="3">
        <v>813500</v>
      </c>
      <c r="C149" s="3">
        <v>38300000</v>
      </c>
    </row>
    <row r="150" spans="1:3" x14ac:dyDescent="0.3">
      <c r="A150" s="7" t="s">
        <v>501</v>
      </c>
      <c r="B150" s="3">
        <v>372400</v>
      </c>
      <c r="C150" s="3">
        <v>48900000</v>
      </c>
    </row>
    <row r="151" spans="1:3" x14ac:dyDescent="0.3">
      <c r="A151" s="7" t="s">
        <v>682</v>
      </c>
      <c r="B151" s="3">
        <v>118300</v>
      </c>
      <c r="C151" s="3">
        <v>40000000</v>
      </c>
    </row>
    <row r="152" spans="1:3" x14ac:dyDescent="0.3">
      <c r="A152" s="7" t="s">
        <v>212</v>
      </c>
      <c r="B152" s="3">
        <v>1600000</v>
      </c>
      <c r="C152" s="3">
        <v>81100000</v>
      </c>
    </row>
    <row r="153" spans="1:3" x14ac:dyDescent="0.3">
      <c r="A153" s="7" t="s">
        <v>345</v>
      </c>
      <c r="B153" s="3">
        <v>500500</v>
      </c>
      <c r="C153" s="3">
        <v>61900000</v>
      </c>
    </row>
    <row r="154" spans="1:3" x14ac:dyDescent="0.3">
      <c r="A154" s="7" t="s">
        <v>318</v>
      </c>
      <c r="B154" s="3">
        <v>386900</v>
      </c>
      <c r="C154" s="3">
        <v>63500000</v>
      </c>
    </row>
    <row r="155" spans="1:3" x14ac:dyDescent="0.3">
      <c r="A155" s="7" t="s">
        <v>886</v>
      </c>
      <c r="B155" s="3">
        <v>232200</v>
      </c>
      <c r="C155" s="3">
        <v>32799999.999999996</v>
      </c>
    </row>
    <row r="156" spans="1:3" x14ac:dyDescent="0.3">
      <c r="A156" s="7" t="s">
        <v>661</v>
      </c>
      <c r="B156" s="3">
        <v>1000000</v>
      </c>
      <c r="C156" s="3">
        <v>40800000</v>
      </c>
    </row>
    <row r="157" spans="1:3" x14ac:dyDescent="0.3">
      <c r="A157" s="7" t="s">
        <v>169</v>
      </c>
      <c r="B157" s="3">
        <v>996200</v>
      </c>
      <c r="C157" s="3">
        <v>123400000</v>
      </c>
    </row>
    <row r="158" spans="1:3" x14ac:dyDescent="0.3">
      <c r="A158" s="7" t="s">
        <v>754</v>
      </c>
      <c r="B158" s="3">
        <v>10900000</v>
      </c>
      <c r="C158" s="3">
        <v>37000000</v>
      </c>
    </row>
    <row r="159" spans="1:3" x14ac:dyDescent="0.3">
      <c r="A159" s="7" t="s">
        <v>420</v>
      </c>
      <c r="B159" s="3">
        <v>3000000</v>
      </c>
      <c r="C159" s="3">
        <v>53400000</v>
      </c>
    </row>
    <row r="160" spans="1:3" x14ac:dyDescent="0.3">
      <c r="A160" s="7" t="s">
        <v>286</v>
      </c>
      <c r="B160" s="3">
        <v>872900</v>
      </c>
      <c r="C160" s="3">
        <v>67700000</v>
      </c>
    </row>
    <row r="161" spans="1:3" x14ac:dyDescent="0.3">
      <c r="A161" s="7" t="s">
        <v>350</v>
      </c>
      <c r="B161" s="3">
        <v>4600000</v>
      </c>
      <c r="C161" s="3">
        <v>61800000</v>
      </c>
    </row>
    <row r="162" spans="1:3" x14ac:dyDescent="0.3">
      <c r="A162" s="7" t="s">
        <v>719</v>
      </c>
      <c r="B162" s="3">
        <v>139300</v>
      </c>
      <c r="C162" s="3">
        <v>38800000</v>
      </c>
    </row>
    <row r="163" spans="1:3" x14ac:dyDescent="0.3">
      <c r="A163" s="7" t="s">
        <v>802</v>
      </c>
      <c r="B163" s="3">
        <v>800400</v>
      </c>
      <c r="C163" s="3">
        <v>35300000</v>
      </c>
    </row>
    <row r="164" spans="1:3" x14ac:dyDescent="0.3">
      <c r="A164" s="7" t="s">
        <v>30</v>
      </c>
      <c r="B164" s="3">
        <v>6200000</v>
      </c>
      <c r="C164" s="3">
        <v>342700000</v>
      </c>
    </row>
    <row r="165" spans="1:3" x14ac:dyDescent="0.3">
      <c r="A165" s="7" t="s">
        <v>435</v>
      </c>
      <c r="B165" s="3">
        <v>1100000</v>
      </c>
      <c r="C165" s="3">
        <v>52800000</v>
      </c>
    </row>
    <row r="166" spans="1:3" x14ac:dyDescent="0.3">
      <c r="A166" s="7" t="s">
        <v>790</v>
      </c>
      <c r="B166" s="3">
        <v>1300000</v>
      </c>
      <c r="C166" s="3">
        <v>35600000</v>
      </c>
    </row>
    <row r="167" spans="1:3" x14ac:dyDescent="0.3">
      <c r="A167" s="7" t="s">
        <v>222</v>
      </c>
      <c r="B167" s="3">
        <v>975100</v>
      </c>
      <c r="C167" s="3">
        <v>76100000</v>
      </c>
    </row>
    <row r="168" spans="1:3" x14ac:dyDescent="0.3">
      <c r="A168" s="7" t="s">
        <v>263</v>
      </c>
      <c r="B168" s="3">
        <v>3500000</v>
      </c>
      <c r="C168" s="3">
        <v>69900000</v>
      </c>
    </row>
    <row r="169" spans="1:3" x14ac:dyDescent="0.3">
      <c r="A169" s="7" t="s">
        <v>841</v>
      </c>
      <c r="B169" s="3">
        <v>732400</v>
      </c>
      <c r="C169" s="3">
        <v>34100000</v>
      </c>
    </row>
    <row r="170" spans="1:3" x14ac:dyDescent="0.3">
      <c r="A170" s="7" t="s">
        <v>239</v>
      </c>
      <c r="B170" s="3">
        <v>1600000</v>
      </c>
      <c r="C170" s="3">
        <v>73900000</v>
      </c>
    </row>
    <row r="171" spans="1:3" x14ac:dyDescent="0.3">
      <c r="A171" s="7" t="s">
        <v>807</v>
      </c>
      <c r="B171" s="3">
        <v>420000</v>
      </c>
      <c r="C171" s="3">
        <v>35000000</v>
      </c>
    </row>
    <row r="172" spans="1:3" x14ac:dyDescent="0.3">
      <c r="A172" s="7" t="s">
        <v>227</v>
      </c>
      <c r="B172" s="3">
        <v>203700</v>
      </c>
      <c r="C172" s="3">
        <v>75300000</v>
      </c>
    </row>
    <row r="173" spans="1:3" x14ac:dyDescent="0.3">
      <c r="A173" s="7" t="s">
        <v>865</v>
      </c>
      <c r="B173" s="3">
        <v>264700</v>
      </c>
      <c r="C173" s="3">
        <v>33299999.999999996</v>
      </c>
    </row>
    <row r="174" spans="1:3" x14ac:dyDescent="0.3">
      <c r="A174" s="7" t="s">
        <v>329</v>
      </c>
      <c r="B174" s="3">
        <v>4500000</v>
      </c>
      <c r="C174" s="3">
        <v>62900000</v>
      </c>
    </row>
    <row r="175" spans="1:3" x14ac:dyDescent="0.3">
      <c r="A175" s="7" t="s">
        <v>578</v>
      </c>
      <c r="B175" s="3">
        <v>1100000</v>
      </c>
      <c r="C175" s="3">
        <v>45400000</v>
      </c>
    </row>
    <row r="176" spans="1:3" x14ac:dyDescent="0.3">
      <c r="A176" s="7" t="s">
        <v>424</v>
      </c>
      <c r="B176" s="3">
        <v>764000</v>
      </c>
      <c r="C176" s="3">
        <v>53400000</v>
      </c>
    </row>
    <row r="177" spans="1:3" x14ac:dyDescent="0.3">
      <c r="A177" s="7" t="s">
        <v>413</v>
      </c>
      <c r="B177" s="3">
        <v>959800</v>
      </c>
      <c r="C177" s="3">
        <v>53900000</v>
      </c>
    </row>
    <row r="178" spans="1:3" x14ac:dyDescent="0.3">
      <c r="A178" s="7" t="s">
        <v>90</v>
      </c>
      <c r="B178" s="3">
        <v>2400000</v>
      </c>
      <c r="C178" s="3">
        <v>222200000</v>
      </c>
    </row>
    <row r="179" spans="1:3" x14ac:dyDescent="0.3">
      <c r="A179" s="7" t="s">
        <v>691</v>
      </c>
      <c r="B179" s="3">
        <v>715500</v>
      </c>
      <c r="C179" s="3">
        <v>39900000</v>
      </c>
    </row>
    <row r="180" spans="1:3" x14ac:dyDescent="0.3">
      <c r="A180" s="7" t="s">
        <v>164</v>
      </c>
      <c r="B180" s="3">
        <v>420500</v>
      </c>
      <c r="C180" s="3">
        <v>125100000</v>
      </c>
    </row>
    <row r="181" spans="1:3" x14ac:dyDescent="0.3">
      <c r="A181" s="7" t="s">
        <v>558</v>
      </c>
      <c r="B181" s="3">
        <v>1100000</v>
      </c>
      <c r="C181" s="3">
        <v>45900000</v>
      </c>
    </row>
    <row r="182" spans="1:3" x14ac:dyDescent="0.3">
      <c r="A182" s="7" t="s">
        <v>36</v>
      </c>
      <c r="B182" s="3">
        <v>1900000</v>
      </c>
      <c r="C182" s="3">
        <v>334100000</v>
      </c>
    </row>
    <row r="183" spans="1:3" x14ac:dyDescent="0.3">
      <c r="A183" s="7" t="s">
        <v>652</v>
      </c>
      <c r="B183" s="3">
        <v>1100000</v>
      </c>
      <c r="C183" s="3">
        <v>41500000</v>
      </c>
    </row>
    <row r="184" spans="1:3" x14ac:dyDescent="0.3">
      <c r="A184" s="7" t="s">
        <v>480</v>
      </c>
      <c r="B184" s="3">
        <v>15400000</v>
      </c>
      <c r="C184" s="3">
        <v>49300000</v>
      </c>
    </row>
    <row r="185" spans="1:3" x14ac:dyDescent="0.3">
      <c r="A185" s="7" t="s">
        <v>793</v>
      </c>
      <c r="B185" s="3">
        <v>1100000</v>
      </c>
      <c r="C185" s="3">
        <v>35600000</v>
      </c>
    </row>
    <row r="186" spans="1:3" x14ac:dyDescent="0.3">
      <c r="A186" s="7" t="s">
        <v>281</v>
      </c>
      <c r="B186" s="3">
        <v>5400000</v>
      </c>
      <c r="C186" s="3">
        <v>67700000</v>
      </c>
    </row>
    <row r="187" spans="1:3" x14ac:dyDescent="0.3">
      <c r="A187" s="7" t="s">
        <v>820</v>
      </c>
      <c r="B187" s="3">
        <v>597200</v>
      </c>
      <c r="C187" s="3">
        <v>34700000</v>
      </c>
    </row>
    <row r="188" spans="1:3" x14ac:dyDescent="0.3">
      <c r="A188" s="7" t="s">
        <v>554</v>
      </c>
      <c r="B188" s="3">
        <v>3000000</v>
      </c>
      <c r="C188" s="3">
        <v>46200000</v>
      </c>
    </row>
    <row r="189" spans="1:3" x14ac:dyDescent="0.3">
      <c r="A189" s="7" t="s">
        <v>580</v>
      </c>
      <c r="B189" s="3">
        <v>1400000</v>
      </c>
      <c r="C189" s="3">
        <v>44800000</v>
      </c>
    </row>
    <row r="190" spans="1:3" x14ac:dyDescent="0.3">
      <c r="A190" s="7" t="s">
        <v>538</v>
      </c>
      <c r="B190" s="3">
        <v>633900</v>
      </c>
      <c r="C190" s="3">
        <v>46800000</v>
      </c>
    </row>
    <row r="191" spans="1:3" x14ac:dyDescent="0.3">
      <c r="A191" s="7" t="s">
        <v>603</v>
      </c>
      <c r="B191" s="3">
        <v>1100000</v>
      </c>
      <c r="C191" s="3">
        <v>43800000</v>
      </c>
    </row>
    <row r="192" spans="1:3" x14ac:dyDescent="0.3">
      <c r="A192" s="7" t="s">
        <v>243</v>
      </c>
      <c r="B192" s="3">
        <v>147000</v>
      </c>
      <c r="C192" s="3">
        <v>73200000</v>
      </c>
    </row>
    <row r="193" spans="1:7" x14ac:dyDescent="0.3">
      <c r="A193" s="7" t="s">
        <v>205</v>
      </c>
      <c r="B193" s="3">
        <v>1400000</v>
      </c>
      <c r="C193" s="3">
        <v>82300000</v>
      </c>
    </row>
    <row r="194" spans="1:7" x14ac:dyDescent="0.3">
      <c r="A194" s="7" t="s">
        <v>101</v>
      </c>
      <c r="B194" s="3">
        <v>3500000</v>
      </c>
      <c r="C194" s="3">
        <v>211800000</v>
      </c>
    </row>
    <row r="195" spans="1:7" x14ac:dyDescent="0.3">
      <c r="A195" s="7" t="s">
        <v>747</v>
      </c>
      <c r="B195" s="3">
        <v>256100.00000000003</v>
      </c>
      <c r="C195" s="3">
        <v>37400000</v>
      </c>
    </row>
    <row r="196" spans="1:7" x14ac:dyDescent="0.3">
      <c r="A196" s="7" t="s">
        <v>363</v>
      </c>
      <c r="B196" s="3">
        <v>1600000</v>
      </c>
      <c r="C196" s="3">
        <v>58700000</v>
      </c>
    </row>
    <row r="197" spans="1:7" x14ac:dyDescent="0.3">
      <c r="A197" s="7" t="s">
        <v>316</v>
      </c>
      <c r="B197" s="3">
        <v>1400000</v>
      </c>
      <c r="C197" s="3">
        <v>63900000</v>
      </c>
    </row>
    <row r="198" spans="1:7" x14ac:dyDescent="0.3">
      <c r="A198" s="7" t="s">
        <v>723</v>
      </c>
      <c r="B198" s="3">
        <v>398700</v>
      </c>
      <c r="C198" s="3">
        <v>38700000</v>
      </c>
      <c r="F198" s="3"/>
      <c r="G198" s="3"/>
    </row>
    <row r="199" spans="1:7" x14ac:dyDescent="0.3">
      <c r="A199" s="7" t="s">
        <v>694</v>
      </c>
      <c r="B199" s="3">
        <v>157400</v>
      </c>
      <c r="C199" s="3">
        <v>39200000</v>
      </c>
      <c r="F199" s="3"/>
      <c r="G199" s="3"/>
    </row>
    <row r="200" spans="1:7" x14ac:dyDescent="0.3">
      <c r="A200" s="7" t="s">
        <v>409</v>
      </c>
      <c r="B200" s="3">
        <v>2300000</v>
      </c>
      <c r="C200" s="3">
        <v>54500000</v>
      </c>
      <c r="F200" s="3"/>
      <c r="G200" s="3"/>
    </row>
    <row r="201" spans="1:7" x14ac:dyDescent="0.3">
      <c r="A201" s="7" t="s">
        <v>548</v>
      </c>
      <c r="B201" s="3">
        <v>4700000</v>
      </c>
      <c r="C201" s="3">
        <v>46500000</v>
      </c>
      <c r="F201" s="3"/>
      <c r="G201" s="3"/>
    </row>
    <row r="202" spans="1:7" x14ac:dyDescent="0.3">
      <c r="A202" s="7" t="s">
        <v>139</v>
      </c>
      <c r="B202" s="3">
        <v>5800000</v>
      </c>
      <c r="C202" s="3">
        <v>150700000</v>
      </c>
      <c r="F202" s="3"/>
      <c r="G202" s="3"/>
    </row>
    <row r="203" spans="1:7" x14ac:dyDescent="0.3">
      <c r="A203" s="7" t="s">
        <v>861</v>
      </c>
      <c r="B203" s="3">
        <v>1100000</v>
      </c>
      <c r="C203" s="3">
        <v>33500000</v>
      </c>
      <c r="F203" s="3"/>
      <c r="G203" s="3"/>
    </row>
    <row r="204" spans="1:7" x14ac:dyDescent="0.3">
      <c r="A204" s="7" t="s">
        <v>903</v>
      </c>
      <c r="B204" s="3">
        <v>357420700</v>
      </c>
      <c r="C204" s="3">
        <v>15481900000</v>
      </c>
      <c r="F204" s="3"/>
      <c r="G204" s="3"/>
    </row>
    <row r="205" spans="1:7" x14ac:dyDescent="0.3">
      <c r="F205" s="3"/>
      <c r="G205" s="3"/>
    </row>
    <row r="206" spans="1:7" x14ac:dyDescent="0.3">
      <c r="F206" s="3"/>
      <c r="G206" s="3"/>
    </row>
    <row r="207" spans="1:7" x14ac:dyDescent="0.3">
      <c r="F207" s="3"/>
      <c r="G207" s="3"/>
    </row>
    <row r="208" spans="1:7" x14ac:dyDescent="0.3">
      <c r="F208" s="3"/>
      <c r="G208" s="3"/>
    </row>
    <row r="209" spans="6:7" x14ac:dyDescent="0.3">
      <c r="F209" s="3"/>
      <c r="G209" s="3"/>
    </row>
    <row r="210" spans="6:7" x14ac:dyDescent="0.3">
      <c r="F210" s="3"/>
      <c r="G210" s="3"/>
    </row>
    <row r="211" spans="6:7" x14ac:dyDescent="0.3">
      <c r="F211" s="3"/>
      <c r="G211" s="3"/>
    </row>
    <row r="212" spans="6:7" x14ac:dyDescent="0.3">
      <c r="F212" s="3"/>
      <c r="G212" s="3"/>
    </row>
    <row r="213" spans="6:7" x14ac:dyDescent="0.3">
      <c r="F213" s="3"/>
      <c r="G213" s="3"/>
    </row>
    <row r="214" spans="6:7" x14ac:dyDescent="0.3">
      <c r="F214" s="3"/>
      <c r="G214" s="3"/>
    </row>
    <row r="215" spans="6:7" x14ac:dyDescent="0.3">
      <c r="F215" s="3"/>
      <c r="G215" s="3"/>
    </row>
    <row r="216" spans="6:7" x14ac:dyDescent="0.3">
      <c r="F216" s="3"/>
      <c r="G216" s="3"/>
    </row>
    <row r="217" spans="6:7" x14ac:dyDescent="0.3">
      <c r="F217" s="3"/>
      <c r="G217" s="3"/>
    </row>
    <row r="218" spans="6:7" x14ac:dyDescent="0.3">
      <c r="F218" s="3"/>
      <c r="G218" s="3"/>
    </row>
    <row r="219" spans="6:7" x14ac:dyDescent="0.3">
      <c r="F219" s="3"/>
      <c r="G219" s="3"/>
    </row>
    <row r="220" spans="6:7" x14ac:dyDescent="0.3">
      <c r="F220" s="3"/>
      <c r="G220" s="3"/>
    </row>
    <row r="221" spans="6:7" x14ac:dyDescent="0.3">
      <c r="F221" s="3"/>
      <c r="G221" s="3"/>
    </row>
    <row r="222" spans="6:7" x14ac:dyDescent="0.3">
      <c r="F222" s="3"/>
      <c r="G222" s="3"/>
    </row>
    <row r="223" spans="6:7" x14ac:dyDescent="0.3">
      <c r="F223" s="3"/>
      <c r="G223" s="3"/>
    </row>
    <row r="224" spans="6:7" x14ac:dyDescent="0.3">
      <c r="F224" s="3"/>
      <c r="G224" s="3"/>
    </row>
    <row r="225" spans="6:7" x14ac:dyDescent="0.3">
      <c r="F225" s="3"/>
      <c r="G225" s="3"/>
    </row>
    <row r="226" spans="6:7" x14ac:dyDescent="0.3">
      <c r="F226" s="3"/>
      <c r="G226" s="3"/>
    </row>
    <row r="227" spans="6:7" x14ac:dyDescent="0.3">
      <c r="F227" s="3"/>
      <c r="G227" s="3"/>
    </row>
    <row r="228" spans="6:7" x14ac:dyDescent="0.3">
      <c r="F228" s="3"/>
      <c r="G228" s="3"/>
    </row>
    <row r="229" spans="6:7" x14ac:dyDescent="0.3">
      <c r="F229" s="3"/>
      <c r="G229" s="3"/>
    </row>
    <row r="230" spans="6:7" x14ac:dyDescent="0.3">
      <c r="F230" s="3"/>
      <c r="G230" s="3"/>
    </row>
    <row r="231" spans="6:7" x14ac:dyDescent="0.3">
      <c r="F231" s="3"/>
      <c r="G231" s="3"/>
    </row>
    <row r="232" spans="6:7" x14ac:dyDescent="0.3">
      <c r="F232" s="3"/>
      <c r="G232" s="3"/>
    </row>
    <row r="233" spans="6:7" x14ac:dyDescent="0.3">
      <c r="F233" s="3"/>
      <c r="G233" s="3"/>
    </row>
    <row r="234" spans="6:7" x14ac:dyDescent="0.3">
      <c r="F234" s="3"/>
      <c r="G234" s="3"/>
    </row>
    <row r="235" spans="6:7" x14ac:dyDescent="0.3">
      <c r="F235" s="3"/>
      <c r="G235" s="3"/>
    </row>
    <row r="236" spans="6:7" x14ac:dyDescent="0.3">
      <c r="F236" s="3"/>
      <c r="G236" s="3"/>
    </row>
    <row r="237" spans="6:7" x14ac:dyDescent="0.3">
      <c r="F237" s="3"/>
      <c r="G237" s="3"/>
    </row>
    <row r="238" spans="6:7" x14ac:dyDescent="0.3">
      <c r="F238" s="3"/>
      <c r="G238" s="3"/>
    </row>
    <row r="239" spans="6:7" x14ac:dyDescent="0.3">
      <c r="F239" s="3"/>
      <c r="G239" s="3"/>
    </row>
    <row r="240" spans="6:7" x14ac:dyDescent="0.3">
      <c r="F240" s="3"/>
      <c r="G240" s="3"/>
    </row>
    <row r="241" spans="6:7" x14ac:dyDescent="0.3">
      <c r="F241" s="3"/>
      <c r="G241" s="3"/>
    </row>
    <row r="242" spans="6:7" x14ac:dyDescent="0.3">
      <c r="F242" s="3"/>
      <c r="G242" s="3"/>
    </row>
    <row r="243" spans="6:7" x14ac:dyDescent="0.3">
      <c r="F243" s="3"/>
      <c r="G243" s="3"/>
    </row>
    <row r="244" spans="6:7" x14ac:dyDescent="0.3">
      <c r="F244" s="3"/>
      <c r="G244" s="3"/>
    </row>
    <row r="245" spans="6:7" x14ac:dyDescent="0.3">
      <c r="F245" s="3"/>
      <c r="G245" s="3"/>
    </row>
    <row r="246" spans="6:7" x14ac:dyDescent="0.3">
      <c r="F246" s="3"/>
      <c r="G246" s="3"/>
    </row>
    <row r="247" spans="6:7" x14ac:dyDescent="0.3">
      <c r="F247" s="3"/>
      <c r="G247" s="3"/>
    </row>
    <row r="248" spans="6:7" x14ac:dyDescent="0.3">
      <c r="F248" s="3"/>
      <c r="G248" s="3"/>
    </row>
    <row r="249" spans="6:7" x14ac:dyDescent="0.3">
      <c r="F249" s="3"/>
      <c r="G249" s="3"/>
    </row>
    <row r="250" spans="6:7" x14ac:dyDescent="0.3">
      <c r="F250" s="3"/>
      <c r="G250" s="3"/>
    </row>
    <row r="251" spans="6:7" x14ac:dyDescent="0.3">
      <c r="F251" s="3"/>
      <c r="G251" s="3"/>
    </row>
    <row r="252" spans="6:7" x14ac:dyDescent="0.3">
      <c r="F252" s="3"/>
      <c r="G252" s="3"/>
    </row>
    <row r="253" spans="6:7" x14ac:dyDescent="0.3">
      <c r="F253" s="3"/>
      <c r="G253" s="3"/>
    </row>
    <row r="254" spans="6:7" x14ac:dyDescent="0.3">
      <c r="F254" s="3"/>
      <c r="G254" s="3"/>
    </row>
    <row r="255" spans="6:7" x14ac:dyDescent="0.3">
      <c r="F255" s="3"/>
      <c r="G255" s="3"/>
    </row>
    <row r="256" spans="6:7" x14ac:dyDescent="0.3">
      <c r="F256" s="3"/>
      <c r="G256" s="3"/>
    </row>
    <row r="257" spans="6:7" x14ac:dyDescent="0.3">
      <c r="F257" s="3"/>
      <c r="G257" s="3"/>
    </row>
    <row r="258" spans="6:7" x14ac:dyDescent="0.3">
      <c r="F258" s="3"/>
      <c r="G258" s="3"/>
    </row>
    <row r="259" spans="6:7" x14ac:dyDescent="0.3">
      <c r="F259" s="3"/>
      <c r="G259" s="3"/>
    </row>
    <row r="260" spans="6:7" x14ac:dyDescent="0.3">
      <c r="F260" s="3"/>
      <c r="G260" s="3"/>
    </row>
    <row r="261" spans="6:7" x14ac:dyDescent="0.3">
      <c r="F261" s="3"/>
      <c r="G261" s="3"/>
    </row>
    <row r="262" spans="6:7" x14ac:dyDescent="0.3">
      <c r="F262" s="3"/>
      <c r="G262" s="3"/>
    </row>
    <row r="263" spans="6:7" x14ac:dyDescent="0.3">
      <c r="F263" s="3"/>
      <c r="G263" s="3"/>
    </row>
    <row r="264" spans="6:7" x14ac:dyDescent="0.3">
      <c r="F264" s="3"/>
      <c r="G264" s="3"/>
    </row>
    <row r="265" spans="6:7" x14ac:dyDescent="0.3">
      <c r="F265" s="3"/>
      <c r="G265" s="3"/>
    </row>
    <row r="266" spans="6:7" x14ac:dyDescent="0.3">
      <c r="F266" s="3"/>
      <c r="G266" s="3"/>
    </row>
    <row r="267" spans="6:7" x14ac:dyDescent="0.3">
      <c r="F267" s="3"/>
      <c r="G267" s="3"/>
    </row>
    <row r="268" spans="6:7" x14ac:dyDescent="0.3">
      <c r="F268" s="3"/>
      <c r="G268" s="3"/>
    </row>
    <row r="269" spans="6:7" x14ac:dyDescent="0.3">
      <c r="F269" s="3"/>
      <c r="G269" s="3"/>
    </row>
    <row r="270" spans="6:7" x14ac:dyDescent="0.3">
      <c r="F270" s="3"/>
      <c r="G270" s="3"/>
    </row>
    <row r="271" spans="6:7" x14ac:dyDescent="0.3">
      <c r="F271" s="3"/>
      <c r="G271" s="3"/>
    </row>
    <row r="272" spans="6:7" x14ac:dyDescent="0.3">
      <c r="F272" s="3"/>
      <c r="G272" s="3"/>
    </row>
    <row r="273" spans="6:7" x14ac:dyDescent="0.3">
      <c r="F273" s="3"/>
      <c r="G273" s="3"/>
    </row>
    <row r="274" spans="6:7" x14ac:dyDescent="0.3">
      <c r="F274" s="3"/>
      <c r="G274" s="3"/>
    </row>
    <row r="275" spans="6:7" x14ac:dyDescent="0.3">
      <c r="F275" s="3"/>
      <c r="G275" s="3"/>
    </row>
    <row r="276" spans="6:7" x14ac:dyDescent="0.3">
      <c r="F276" s="3"/>
      <c r="G276" s="3"/>
    </row>
    <row r="277" spans="6:7" x14ac:dyDescent="0.3">
      <c r="F277" s="3"/>
      <c r="G277" s="3"/>
    </row>
    <row r="278" spans="6:7" x14ac:dyDescent="0.3">
      <c r="F278" s="3"/>
      <c r="G278" s="3"/>
    </row>
    <row r="279" spans="6:7" x14ac:dyDescent="0.3">
      <c r="F279" s="3"/>
      <c r="G279" s="3"/>
    </row>
    <row r="280" spans="6:7" x14ac:dyDescent="0.3">
      <c r="F280" s="3"/>
      <c r="G280" s="3"/>
    </row>
    <row r="281" spans="6:7" x14ac:dyDescent="0.3">
      <c r="F281" s="3"/>
      <c r="G281" s="3"/>
    </row>
    <row r="282" spans="6:7" x14ac:dyDescent="0.3">
      <c r="F282" s="3"/>
      <c r="G282" s="3"/>
    </row>
    <row r="283" spans="6:7" x14ac:dyDescent="0.3">
      <c r="F283" s="3"/>
      <c r="G283" s="3"/>
    </row>
    <row r="284" spans="6:7" x14ac:dyDescent="0.3">
      <c r="F284" s="3"/>
      <c r="G284" s="3"/>
    </row>
    <row r="285" spans="6:7" x14ac:dyDescent="0.3">
      <c r="F285" s="3"/>
      <c r="G285" s="3"/>
    </row>
    <row r="286" spans="6:7" x14ac:dyDescent="0.3">
      <c r="F286" s="3"/>
      <c r="G286" s="3"/>
    </row>
    <row r="287" spans="6:7" x14ac:dyDescent="0.3">
      <c r="F287" s="3"/>
      <c r="G287" s="3"/>
    </row>
    <row r="288" spans="6:7" x14ac:dyDescent="0.3">
      <c r="F288" s="3"/>
      <c r="G288" s="3"/>
    </row>
    <row r="289" spans="6:7" x14ac:dyDescent="0.3">
      <c r="F289" s="3"/>
      <c r="G289" s="3"/>
    </row>
    <row r="290" spans="6:7" x14ac:dyDescent="0.3">
      <c r="F290" s="3"/>
      <c r="G290" s="3"/>
    </row>
    <row r="291" spans="6:7" x14ac:dyDescent="0.3">
      <c r="F291" s="3"/>
      <c r="G291" s="3"/>
    </row>
    <row r="292" spans="6:7" x14ac:dyDescent="0.3">
      <c r="F292" s="3"/>
      <c r="G292" s="3"/>
    </row>
    <row r="293" spans="6:7" x14ac:dyDescent="0.3">
      <c r="F293" s="3"/>
      <c r="G293" s="3"/>
    </row>
    <row r="294" spans="6:7" x14ac:dyDescent="0.3">
      <c r="F294" s="3"/>
      <c r="G294" s="3"/>
    </row>
    <row r="295" spans="6:7" x14ac:dyDescent="0.3">
      <c r="F295" s="3"/>
      <c r="G295" s="3"/>
    </row>
    <row r="296" spans="6:7" x14ac:dyDescent="0.3">
      <c r="F296" s="3"/>
      <c r="G296" s="3"/>
    </row>
    <row r="297" spans="6:7" x14ac:dyDescent="0.3">
      <c r="F297" s="3"/>
      <c r="G297" s="3"/>
    </row>
    <row r="298" spans="6:7" x14ac:dyDescent="0.3">
      <c r="F298" s="3"/>
      <c r="G298" s="3"/>
    </row>
    <row r="299" spans="6:7" x14ac:dyDescent="0.3">
      <c r="F299" s="3"/>
      <c r="G299" s="3"/>
    </row>
    <row r="300" spans="6:7" x14ac:dyDescent="0.3">
      <c r="F300" s="3"/>
      <c r="G300" s="3"/>
    </row>
    <row r="301" spans="6:7" x14ac:dyDescent="0.3">
      <c r="F301" s="3"/>
      <c r="G301" s="3"/>
    </row>
    <row r="302" spans="6:7" x14ac:dyDescent="0.3">
      <c r="F302" s="3"/>
      <c r="G302" s="3"/>
    </row>
    <row r="303" spans="6:7" x14ac:dyDescent="0.3">
      <c r="F303" s="3"/>
      <c r="G303" s="3"/>
    </row>
    <row r="304" spans="6:7" x14ac:dyDescent="0.3">
      <c r="F304" s="3"/>
      <c r="G304" s="3"/>
    </row>
    <row r="305" spans="6:7" x14ac:dyDescent="0.3">
      <c r="F305" s="3"/>
      <c r="G305" s="3"/>
    </row>
    <row r="306" spans="6:7" x14ac:dyDescent="0.3">
      <c r="F306" s="3"/>
      <c r="G306" s="3"/>
    </row>
    <row r="307" spans="6:7" x14ac:dyDescent="0.3">
      <c r="F307" s="3"/>
      <c r="G307" s="3"/>
    </row>
    <row r="308" spans="6:7" x14ac:dyDescent="0.3">
      <c r="F308" s="3"/>
      <c r="G308" s="3"/>
    </row>
    <row r="309" spans="6:7" x14ac:dyDescent="0.3">
      <c r="F309" s="3"/>
      <c r="G309" s="3"/>
    </row>
    <row r="310" spans="6:7" x14ac:dyDescent="0.3">
      <c r="F310" s="3"/>
      <c r="G310" s="3"/>
    </row>
    <row r="311" spans="6:7" x14ac:dyDescent="0.3">
      <c r="F311" s="3"/>
      <c r="G311" s="3"/>
    </row>
    <row r="312" spans="6:7" x14ac:dyDescent="0.3">
      <c r="F312" s="3"/>
      <c r="G312" s="3"/>
    </row>
    <row r="313" spans="6:7" x14ac:dyDescent="0.3">
      <c r="F313" s="3"/>
      <c r="G313" s="3"/>
    </row>
    <row r="314" spans="6:7" x14ac:dyDescent="0.3">
      <c r="F314" s="3"/>
      <c r="G314" s="3"/>
    </row>
    <row r="315" spans="6:7" x14ac:dyDescent="0.3">
      <c r="F315" s="3"/>
      <c r="G315" s="3"/>
    </row>
    <row r="316" spans="6:7" x14ac:dyDescent="0.3">
      <c r="F316" s="3"/>
      <c r="G316" s="3"/>
    </row>
    <row r="317" spans="6:7" x14ac:dyDescent="0.3">
      <c r="F317" s="3"/>
      <c r="G317" s="3"/>
    </row>
    <row r="318" spans="6:7" x14ac:dyDescent="0.3">
      <c r="F318" s="3"/>
      <c r="G318" s="3"/>
    </row>
    <row r="319" spans="6:7" x14ac:dyDescent="0.3">
      <c r="F319" s="3"/>
      <c r="G319" s="3"/>
    </row>
    <row r="320" spans="6:7" x14ac:dyDescent="0.3">
      <c r="F320" s="3"/>
      <c r="G320" s="3"/>
    </row>
    <row r="321" spans="6:7" x14ac:dyDescent="0.3">
      <c r="F321" s="3"/>
      <c r="G321" s="3"/>
    </row>
    <row r="322" spans="6:7" x14ac:dyDescent="0.3">
      <c r="F322" s="3"/>
      <c r="G322" s="3"/>
    </row>
    <row r="323" spans="6:7" x14ac:dyDescent="0.3">
      <c r="F323" s="3"/>
      <c r="G323" s="3"/>
    </row>
    <row r="324" spans="6:7" x14ac:dyDescent="0.3">
      <c r="F324" s="3"/>
      <c r="G324" s="3"/>
    </row>
    <row r="325" spans="6:7" x14ac:dyDescent="0.3">
      <c r="F325" s="3"/>
      <c r="G325" s="3"/>
    </row>
    <row r="326" spans="6:7" x14ac:dyDescent="0.3">
      <c r="F326" s="3"/>
      <c r="G326" s="3"/>
    </row>
    <row r="327" spans="6:7" x14ac:dyDescent="0.3">
      <c r="F327" s="3"/>
      <c r="G327" s="3"/>
    </row>
    <row r="328" spans="6:7" x14ac:dyDescent="0.3">
      <c r="F328" s="3"/>
      <c r="G328" s="3"/>
    </row>
    <row r="329" spans="6:7" x14ac:dyDescent="0.3">
      <c r="F329" s="3"/>
      <c r="G329" s="3"/>
    </row>
    <row r="330" spans="6:7" x14ac:dyDescent="0.3">
      <c r="F330" s="3"/>
      <c r="G330" s="3"/>
    </row>
    <row r="331" spans="6:7" x14ac:dyDescent="0.3">
      <c r="F331" s="3"/>
      <c r="G331" s="3"/>
    </row>
    <row r="332" spans="6:7" x14ac:dyDescent="0.3">
      <c r="F332" s="3"/>
      <c r="G332" s="3"/>
    </row>
    <row r="333" spans="6:7" x14ac:dyDescent="0.3">
      <c r="F333" s="3"/>
      <c r="G333" s="3"/>
    </row>
    <row r="334" spans="6:7" x14ac:dyDescent="0.3">
      <c r="F334" s="3"/>
      <c r="G334" s="3"/>
    </row>
    <row r="335" spans="6:7" x14ac:dyDescent="0.3">
      <c r="F335" s="3"/>
      <c r="G335" s="3"/>
    </row>
    <row r="336" spans="6:7" x14ac:dyDescent="0.3">
      <c r="F336" s="3"/>
      <c r="G336" s="3"/>
    </row>
    <row r="337" spans="6:7" x14ac:dyDescent="0.3">
      <c r="F337" s="3"/>
      <c r="G337" s="3"/>
    </row>
    <row r="338" spans="6:7" x14ac:dyDescent="0.3">
      <c r="F338" s="3"/>
      <c r="G338" s="3"/>
    </row>
    <row r="339" spans="6:7" x14ac:dyDescent="0.3">
      <c r="F339" s="3"/>
      <c r="G339" s="3"/>
    </row>
    <row r="340" spans="6:7" x14ac:dyDescent="0.3">
      <c r="F340" s="3"/>
      <c r="G340" s="3"/>
    </row>
    <row r="341" spans="6:7" x14ac:dyDescent="0.3">
      <c r="F341" s="3"/>
      <c r="G341" s="3"/>
    </row>
    <row r="342" spans="6:7" x14ac:dyDescent="0.3">
      <c r="F342" s="3"/>
      <c r="G342" s="3"/>
    </row>
    <row r="343" spans="6:7" x14ac:dyDescent="0.3">
      <c r="F343" s="3"/>
      <c r="G343" s="3"/>
    </row>
    <row r="344" spans="6:7" x14ac:dyDescent="0.3">
      <c r="F344" s="3"/>
      <c r="G344" s="3"/>
    </row>
    <row r="345" spans="6:7" x14ac:dyDescent="0.3">
      <c r="F345" s="3"/>
      <c r="G345" s="3"/>
    </row>
    <row r="346" spans="6:7" x14ac:dyDescent="0.3">
      <c r="F346" s="3"/>
      <c r="G346" s="3"/>
    </row>
    <row r="347" spans="6:7" x14ac:dyDescent="0.3">
      <c r="F347" s="3"/>
      <c r="G347" s="3"/>
    </row>
    <row r="348" spans="6:7" x14ac:dyDescent="0.3">
      <c r="F348" s="3"/>
      <c r="G348" s="3"/>
    </row>
    <row r="349" spans="6:7" x14ac:dyDescent="0.3">
      <c r="F349" s="3"/>
      <c r="G349" s="3"/>
    </row>
    <row r="350" spans="6:7" x14ac:dyDescent="0.3">
      <c r="F350" s="3"/>
      <c r="G350" s="3"/>
    </row>
    <row r="351" spans="6:7" x14ac:dyDescent="0.3">
      <c r="F351" s="3"/>
      <c r="G351" s="3"/>
    </row>
    <row r="352" spans="6:7" x14ac:dyDescent="0.3">
      <c r="F352" s="3"/>
      <c r="G352" s="3"/>
    </row>
    <row r="353" spans="6:7" x14ac:dyDescent="0.3">
      <c r="F353" s="3"/>
      <c r="G353" s="3"/>
    </row>
    <row r="354" spans="6:7" x14ac:dyDescent="0.3">
      <c r="F354" s="3"/>
      <c r="G354" s="3"/>
    </row>
    <row r="355" spans="6:7" x14ac:dyDescent="0.3">
      <c r="F355" s="3"/>
      <c r="G355" s="3"/>
    </row>
    <row r="356" spans="6:7" x14ac:dyDescent="0.3">
      <c r="F356" s="3"/>
      <c r="G356" s="3"/>
    </row>
    <row r="357" spans="6:7" x14ac:dyDescent="0.3">
      <c r="F357" s="3"/>
      <c r="G357" s="3"/>
    </row>
    <row r="358" spans="6:7" x14ac:dyDescent="0.3">
      <c r="F358" s="3"/>
      <c r="G358" s="3"/>
    </row>
    <row r="359" spans="6:7" x14ac:dyDescent="0.3">
      <c r="F359" s="3"/>
      <c r="G359" s="3"/>
    </row>
    <row r="360" spans="6:7" x14ac:dyDescent="0.3">
      <c r="F360" s="3"/>
      <c r="G360" s="3"/>
    </row>
    <row r="361" spans="6:7" x14ac:dyDescent="0.3">
      <c r="F361" s="3"/>
      <c r="G361" s="3"/>
    </row>
    <row r="362" spans="6:7" x14ac:dyDescent="0.3">
      <c r="F362" s="3"/>
      <c r="G362" s="3"/>
    </row>
    <row r="363" spans="6:7" x14ac:dyDescent="0.3">
      <c r="F363" s="3"/>
      <c r="G363" s="3"/>
    </row>
    <row r="364" spans="6:7" x14ac:dyDescent="0.3">
      <c r="F364" s="3"/>
      <c r="G364" s="3"/>
    </row>
    <row r="365" spans="6:7" x14ac:dyDescent="0.3">
      <c r="F365" s="3"/>
      <c r="G365" s="3"/>
    </row>
    <row r="366" spans="6:7" x14ac:dyDescent="0.3">
      <c r="F366" s="3"/>
      <c r="G366" s="3"/>
    </row>
    <row r="367" spans="6:7" x14ac:dyDescent="0.3">
      <c r="F367" s="3"/>
      <c r="G367" s="3"/>
    </row>
    <row r="368" spans="6:7" x14ac:dyDescent="0.3">
      <c r="F368" s="3"/>
      <c r="G368" s="3"/>
    </row>
    <row r="369" spans="6:7" x14ac:dyDescent="0.3">
      <c r="F369" s="3"/>
      <c r="G369" s="3"/>
    </row>
    <row r="370" spans="6:7" x14ac:dyDescent="0.3">
      <c r="F370" s="3"/>
      <c r="G370" s="3"/>
    </row>
    <row r="371" spans="6:7" x14ac:dyDescent="0.3">
      <c r="F371" s="3"/>
      <c r="G371" s="3"/>
    </row>
    <row r="372" spans="6:7" x14ac:dyDescent="0.3">
      <c r="F372" s="3"/>
      <c r="G372" s="3"/>
    </row>
    <row r="373" spans="6:7" x14ac:dyDescent="0.3">
      <c r="F373" s="3"/>
      <c r="G373" s="3"/>
    </row>
    <row r="374" spans="6:7" x14ac:dyDescent="0.3">
      <c r="F374" s="3"/>
      <c r="G374" s="3"/>
    </row>
    <row r="375" spans="6:7" x14ac:dyDescent="0.3">
      <c r="F375" s="3"/>
      <c r="G375" s="3"/>
    </row>
    <row r="376" spans="6:7" x14ac:dyDescent="0.3">
      <c r="F376" s="3"/>
      <c r="G376" s="3"/>
    </row>
    <row r="377" spans="6:7" x14ac:dyDescent="0.3">
      <c r="F377" s="3"/>
      <c r="G377" s="3"/>
    </row>
    <row r="378" spans="6:7" x14ac:dyDescent="0.3">
      <c r="F378" s="3"/>
      <c r="G378" s="3"/>
    </row>
    <row r="379" spans="6:7" x14ac:dyDescent="0.3">
      <c r="F379" s="3"/>
      <c r="G379" s="3"/>
    </row>
    <row r="380" spans="6:7" x14ac:dyDescent="0.3">
      <c r="F380" s="3"/>
      <c r="G380" s="3"/>
    </row>
    <row r="381" spans="6:7" x14ac:dyDescent="0.3">
      <c r="F381" s="3"/>
      <c r="G381" s="3"/>
    </row>
    <row r="382" spans="6:7" x14ac:dyDescent="0.3">
      <c r="F382" s="3"/>
      <c r="G382" s="3"/>
    </row>
    <row r="383" spans="6:7" x14ac:dyDescent="0.3">
      <c r="F383" s="3"/>
      <c r="G383" s="3"/>
    </row>
    <row r="384" spans="6:7" x14ac:dyDescent="0.3">
      <c r="F384" s="3"/>
      <c r="G384" s="3"/>
    </row>
    <row r="385" spans="6:7" x14ac:dyDescent="0.3">
      <c r="F385" s="3"/>
      <c r="G385" s="3"/>
    </row>
    <row r="386" spans="6:7" x14ac:dyDescent="0.3">
      <c r="F386" s="3"/>
      <c r="G386" s="3"/>
    </row>
    <row r="387" spans="6:7" x14ac:dyDescent="0.3">
      <c r="F387" s="3"/>
      <c r="G387" s="3"/>
    </row>
    <row r="388" spans="6:7" x14ac:dyDescent="0.3">
      <c r="F388" s="3"/>
      <c r="G388" s="3"/>
    </row>
    <row r="389" spans="6:7" x14ac:dyDescent="0.3">
      <c r="F389" s="3"/>
      <c r="G389" s="3"/>
    </row>
    <row r="390" spans="6:7" x14ac:dyDescent="0.3">
      <c r="F390" s="3"/>
      <c r="G390" s="3"/>
    </row>
    <row r="391" spans="6:7" x14ac:dyDescent="0.3">
      <c r="F391" s="3"/>
      <c r="G391" s="3"/>
    </row>
    <row r="392" spans="6:7" x14ac:dyDescent="0.3">
      <c r="F392" s="3"/>
      <c r="G392" s="3"/>
    </row>
    <row r="393" spans="6:7" x14ac:dyDescent="0.3">
      <c r="F393" s="3"/>
      <c r="G393" s="3"/>
    </row>
    <row r="394" spans="6:7" x14ac:dyDescent="0.3">
      <c r="F394" s="3"/>
      <c r="G394" s="3"/>
    </row>
    <row r="395" spans="6:7" x14ac:dyDescent="0.3">
      <c r="F395" s="3"/>
      <c r="G395" s="3"/>
    </row>
    <row r="396" spans="6:7" x14ac:dyDescent="0.3">
      <c r="F396" s="3"/>
      <c r="G396" s="3"/>
    </row>
    <row r="397" spans="6:7" x14ac:dyDescent="0.3">
      <c r="F397" s="3"/>
      <c r="G397" s="3"/>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30270-C596-4885-9B36-DAD339C51605}">
  <dimension ref="A2:G204"/>
  <sheetViews>
    <sheetView showGridLines="0" workbookViewId="0">
      <selection activeCell="H27" sqref="H27"/>
    </sheetView>
  </sheetViews>
  <sheetFormatPr defaultRowHeight="14.4" x14ac:dyDescent="0.3"/>
  <cols>
    <col min="1" max="1" width="21.77734375" bestFit="1" customWidth="1"/>
    <col min="2" max="2" width="23.77734375" bestFit="1" customWidth="1"/>
  </cols>
  <sheetData>
    <row r="2" spans="1:7" ht="18" x14ac:dyDescent="0.35">
      <c r="G2" s="8" t="s">
        <v>913</v>
      </c>
    </row>
    <row r="3" spans="1:7" x14ac:dyDescent="0.3">
      <c r="A3" s="6" t="s">
        <v>902</v>
      </c>
      <c r="B3" t="s">
        <v>907</v>
      </c>
    </row>
    <row r="4" spans="1:7" x14ac:dyDescent="0.3">
      <c r="A4" s="7">
        <v>433</v>
      </c>
      <c r="B4" s="1">
        <v>-10.31047265987025</v>
      </c>
    </row>
    <row r="5" spans="1:7" x14ac:dyDescent="0.3">
      <c r="A5" s="7" t="s">
        <v>544</v>
      </c>
      <c r="B5" s="1">
        <v>-92.101910828025481</v>
      </c>
    </row>
    <row r="6" spans="1:7" x14ac:dyDescent="0.3">
      <c r="A6" s="7" t="s">
        <v>367</v>
      </c>
      <c r="B6" s="1">
        <v>-63.038953315492122</v>
      </c>
    </row>
    <row r="7" spans="1:7" x14ac:dyDescent="0.3">
      <c r="A7" s="7" t="s">
        <v>672</v>
      </c>
      <c r="B7" s="1">
        <v>-67.92258064516129</v>
      </c>
    </row>
    <row r="8" spans="1:7" x14ac:dyDescent="0.3">
      <c r="A8" s="7" t="s">
        <v>459</v>
      </c>
      <c r="B8" s="1">
        <v>-59.574468085106382</v>
      </c>
    </row>
    <row r="9" spans="1:7" x14ac:dyDescent="0.3">
      <c r="A9" s="7" t="s">
        <v>833</v>
      </c>
      <c r="B9" s="1">
        <v>-50.95447870778267</v>
      </c>
    </row>
    <row r="10" spans="1:7" x14ac:dyDescent="0.3">
      <c r="A10" s="7" t="s">
        <v>338</v>
      </c>
      <c r="B10" s="1">
        <v>-58.34</v>
      </c>
    </row>
    <row r="11" spans="1:7" x14ac:dyDescent="0.3">
      <c r="A11" s="7" t="s">
        <v>274</v>
      </c>
      <c r="B11" s="1">
        <v>16.666666666666664</v>
      </c>
    </row>
    <row r="12" spans="1:7" x14ac:dyDescent="0.3">
      <c r="A12" s="7" t="s">
        <v>677</v>
      </c>
      <c r="B12" s="1">
        <v>-35.526315789473685</v>
      </c>
    </row>
    <row r="13" spans="1:7" x14ac:dyDescent="0.3">
      <c r="A13" s="7" t="s">
        <v>324</v>
      </c>
      <c r="B13" s="1">
        <v>-50.181180596142603</v>
      </c>
    </row>
    <row r="14" spans="1:7" x14ac:dyDescent="0.3">
      <c r="A14" s="7" t="s">
        <v>765</v>
      </c>
      <c r="B14" s="1">
        <v>-81.490909090909085</v>
      </c>
    </row>
    <row r="15" spans="1:7" x14ac:dyDescent="0.3">
      <c r="A15" s="7" t="s">
        <v>735</v>
      </c>
      <c r="B15" s="1">
        <v>-5.3350589588725912</v>
      </c>
    </row>
    <row r="16" spans="1:7" x14ac:dyDescent="0.3">
      <c r="A16" s="7" t="s">
        <v>360</v>
      </c>
      <c r="B16" s="1">
        <v>-26.315789473684209</v>
      </c>
    </row>
    <row r="17" spans="1:2" x14ac:dyDescent="0.3">
      <c r="A17" s="7" t="s">
        <v>48</v>
      </c>
      <c r="B17" s="1">
        <v>5.4054054054054053</v>
      </c>
    </row>
    <row r="18" spans="1:2" x14ac:dyDescent="0.3">
      <c r="A18" s="7" t="s">
        <v>445</v>
      </c>
      <c r="B18" s="1">
        <v>-61.778682959945684</v>
      </c>
    </row>
    <row r="19" spans="1:2" x14ac:dyDescent="0.3">
      <c r="A19" s="7" t="s">
        <v>633</v>
      </c>
      <c r="B19" s="1">
        <v>45.945945945945951</v>
      </c>
    </row>
    <row r="20" spans="1:2" x14ac:dyDescent="0.3">
      <c r="A20" s="7" t="s">
        <v>156</v>
      </c>
      <c r="B20" s="1">
        <v>-100</v>
      </c>
    </row>
    <row r="21" spans="1:2" x14ac:dyDescent="0.3">
      <c r="A21" s="7" t="s">
        <v>798</v>
      </c>
      <c r="B21" s="1">
        <v>-62.590909090909086</v>
      </c>
    </row>
    <row r="22" spans="1:2" x14ac:dyDescent="0.3">
      <c r="A22" s="7" t="s">
        <v>417</v>
      </c>
      <c r="B22" s="1">
        <v>-50.435714285714283</v>
      </c>
    </row>
    <row r="23" spans="1:2" x14ac:dyDescent="0.3">
      <c r="A23" s="7" t="s">
        <v>410</v>
      </c>
      <c r="B23" s="1">
        <v>0</v>
      </c>
    </row>
    <row r="24" spans="1:2" x14ac:dyDescent="0.3">
      <c r="A24" s="7" t="s">
        <v>54</v>
      </c>
      <c r="B24" s="1">
        <v>-44.444444444444443</v>
      </c>
    </row>
    <row r="25" spans="1:2" x14ac:dyDescent="0.3">
      <c r="A25" s="7" t="s">
        <v>189</v>
      </c>
      <c r="B25" s="1">
        <v>-38.82352941176471</v>
      </c>
    </row>
    <row r="26" spans="1:2" x14ac:dyDescent="0.3">
      <c r="A26" s="7" t="s">
        <v>513</v>
      </c>
      <c r="B26" s="1">
        <v>-38.095238095238095</v>
      </c>
    </row>
    <row r="27" spans="1:2" x14ac:dyDescent="0.3">
      <c r="A27" s="7" t="s">
        <v>830</v>
      </c>
      <c r="B27" s="1">
        <v>-100</v>
      </c>
    </row>
    <row r="28" spans="1:2" x14ac:dyDescent="0.3">
      <c r="A28" s="7" t="s">
        <v>847</v>
      </c>
      <c r="B28" s="1">
        <v>-66.926070038910495</v>
      </c>
    </row>
    <row r="29" spans="1:2" x14ac:dyDescent="0.3">
      <c r="A29" s="7" t="s">
        <v>637</v>
      </c>
      <c r="B29" s="1">
        <v>-56.792048333658151</v>
      </c>
    </row>
    <row r="30" spans="1:2" x14ac:dyDescent="0.3">
      <c r="A30" s="7" t="s">
        <v>619</v>
      </c>
      <c r="B30" s="1">
        <v>-54.19201814994328</v>
      </c>
    </row>
    <row r="31" spans="1:2" x14ac:dyDescent="0.3">
      <c r="A31" s="7" t="s">
        <v>293</v>
      </c>
      <c r="B31" s="1">
        <v>-12.195121951219502</v>
      </c>
    </row>
    <row r="32" spans="1:2" x14ac:dyDescent="0.3">
      <c r="A32" s="7" t="s">
        <v>614</v>
      </c>
      <c r="B32" s="1">
        <v>-88.172043010752688</v>
      </c>
    </row>
    <row r="33" spans="1:2" x14ac:dyDescent="0.3">
      <c r="A33" s="7" t="s">
        <v>313</v>
      </c>
      <c r="B33" s="1">
        <v>-26.315789473684209</v>
      </c>
    </row>
    <row r="34" spans="1:2" x14ac:dyDescent="0.3">
      <c r="A34" s="7" t="s">
        <v>624</v>
      </c>
      <c r="B34" s="1">
        <v>-77.09440647937231</v>
      </c>
    </row>
    <row r="35" spans="1:2" x14ac:dyDescent="0.3">
      <c r="A35" s="7" t="s">
        <v>174</v>
      </c>
      <c r="B35" s="1">
        <v>-23.52941176470588</v>
      </c>
    </row>
    <row r="36" spans="1:2" x14ac:dyDescent="0.3">
      <c r="A36" s="7" t="s">
        <v>489</v>
      </c>
      <c r="B36" s="1">
        <v>-61.904761904761905</v>
      </c>
    </row>
    <row r="37" spans="1:2" x14ac:dyDescent="0.3">
      <c r="A37" s="7" t="s">
        <v>179</v>
      </c>
      <c r="B37" s="1">
        <v>-44.753886010362692</v>
      </c>
    </row>
    <row r="38" spans="1:2" x14ac:dyDescent="0.3">
      <c r="A38" s="7" t="s">
        <v>386</v>
      </c>
      <c r="B38" s="1">
        <v>-25</v>
      </c>
    </row>
    <row r="39" spans="1:2" x14ac:dyDescent="0.3">
      <c r="A39" s="7" t="s">
        <v>715</v>
      </c>
      <c r="B39" s="1">
        <v>-73.984914138982504</v>
      </c>
    </row>
    <row r="40" spans="1:2" x14ac:dyDescent="0.3">
      <c r="A40" s="7" t="s">
        <v>781</v>
      </c>
      <c r="B40" s="1">
        <v>-62.06818181818182</v>
      </c>
    </row>
    <row r="41" spans="1:2" x14ac:dyDescent="0.3">
      <c r="A41" s="7" t="s">
        <v>10</v>
      </c>
      <c r="B41" s="1">
        <v>-25.287356321839084</v>
      </c>
    </row>
    <row r="42" spans="1:2" x14ac:dyDescent="0.3">
      <c r="A42" s="7" t="s">
        <v>710</v>
      </c>
      <c r="B42" s="1">
        <v>-53.015444962000494</v>
      </c>
    </row>
    <row r="43" spans="1:2" x14ac:dyDescent="0.3">
      <c r="A43" s="7" t="s">
        <v>561</v>
      </c>
      <c r="B43" s="1">
        <v>-30.222222222222221</v>
      </c>
    </row>
    <row r="44" spans="1:2" x14ac:dyDescent="0.3">
      <c r="A44" s="7" t="s">
        <v>853</v>
      </c>
      <c r="B44" s="1">
        <v>-40</v>
      </c>
    </row>
    <row r="45" spans="1:2" x14ac:dyDescent="0.3">
      <c r="A45" s="7" t="s">
        <v>826</v>
      </c>
      <c r="B45" s="1">
        <v>-20</v>
      </c>
    </row>
    <row r="46" spans="1:2" x14ac:dyDescent="0.3">
      <c r="A46" s="7" t="s">
        <v>235</v>
      </c>
      <c r="B46" s="1">
        <v>-71.591666666666669</v>
      </c>
    </row>
    <row r="47" spans="1:2" x14ac:dyDescent="0.3">
      <c r="A47" s="7" t="s">
        <v>150</v>
      </c>
      <c r="B47" s="1">
        <v>-66.963636363636354</v>
      </c>
    </row>
    <row r="48" spans="1:2" x14ac:dyDescent="0.3">
      <c r="A48" s="7" t="s">
        <v>277</v>
      </c>
      <c r="B48" s="1">
        <v>-6.25</v>
      </c>
    </row>
    <row r="49" spans="1:2" x14ac:dyDescent="0.3">
      <c r="A49" s="7" t="s">
        <v>656</v>
      </c>
      <c r="B49" s="1">
        <v>-28.378378378378379</v>
      </c>
    </row>
    <row r="50" spans="1:2" x14ac:dyDescent="0.3">
      <c r="A50" s="7" t="s">
        <v>431</v>
      </c>
      <c r="B50" s="1">
        <v>-39.268750000000004</v>
      </c>
    </row>
    <row r="51" spans="1:2" x14ac:dyDescent="0.3">
      <c r="A51" s="7" t="s">
        <v>838</v>
      </c>
      <c r="B51" s="1">
        <v>-28.725701943844495</v>
      </c>
    </row>
    <row r="52" spans="1:2" x14ac:dyDescent="0.3">
      <c r="A52" s="7" t="s">
        <v>515</v>
      </c>
      <c r="B52" s="1">
        <v>-47.412500000000001</v>
      </c>
    </row>
    <row r="53" spans="1:2" x14ac:dyDescent="0.3">
      <c r="A53" s="7" t="s">
        <v>195</v>
      </c>
      <c r="B53" s="1">
        <v>-47.619047619047613</v>
      </c>
    </row>
    <row r="54" spans="1:2" x14ac:dyDescent="0.3">
      <c r="A54" s="7" t="s">
        <v>772</v>
      </c>
      <c r="B54" s="1">
        <v>-12.481818181818181</v>
      </c>
    </row>
    <row r="55" spans="1:2" x14ac:dyDescent="0.3">
      <c r="A55" s="7" t="s">
        <v>289</v>
      </c>
      <c r="B55" s="1">
        <v>-100</v>
      </c>
    </row>
    <row r="56" spans="1:2" x14ac:dyDescent="0.3">
      <c r="A56" s="7" t="s">
        <v>185</v>
      </c>
      <c r="B56" s="1">
        <v>-41.141666666666666</v>
      </c>
    </row>
    <row r="57" spans="1:2" x14ac:dyDescent="0.3">
      <c r="A57" s="7" t="s">
        <v>200</v>
      </c>
      <c r="B57" s="1">
        <v>-58.107142857142854</v>
      </c>
    </row>
    <row r="58" spans="1:2" x14ac:dyDescent="0.3">
      <c r="A58" s="7" t="s">
        <v>519</v>
      </c>
      <c r="B58" s="1">
        <v>-10.707732634338139</v>
      </c>
    </row>
    <row r="59" spans="1:2" x14ac:dyDescent="0.3">
      <c r="A59" s="7" t="s">
        <v>707</v>
      </c>
      <c r="B59" s="1">
        <v>50</v>
      </c>
    </row>
    <row r="60" spans="1:2" x14ac:dyDescent="0.3">
      <c r="A60" s="7" t="s">
        <v>232</v>
      </c>
      <c r="B60" s="1">
        <v>-24</v>
      </c>
    </row>
    <row r="61" spans="1:2" x14ac:dyDescent="0.3">
      <c r="A61" s="7" t="s">
        <v>769</v>
      </c>
      <c r="B61" s="1">
        <v>-77.807308970099669</v>
      </c>
    </row>
    <row r="62" spans="1:2" x14ac:dyDescent="0.3">
      <c r="A62" s="7" t="s">
        <v>494</v>
      </c>
      <c r="B62" s="1">
        <v>-37.098175499565592</v>
      </c>
    </row>
    <row r="63" spans="1:2" x14ac:dyDescent="0.3">
      <c r="A63" s="7" t="s">
        <v>595</v>
      </c>
      <c r="B63" s="1">
        <v>-36.034519048621341</v>
      </c>
    </row>
    <row r="64" spans="1:2" x14ac:dyDescent="0.3">
      <c r="A64" s="7" t="s">
        <v>537</v>
      </c>
      <c r="B64" s="1">
        <v>-20</v>
      </c>
    </row>
    <row r="65" spans="1:2" x14ac:dyDescent="0.3">
      <c r="A65" s="7" t="s">
        <v>534</v>
      </c>
      <c r="B65" s="1">
        <v>-38.297872340425535</v>
      </c>
    </row>
    <row r="66" spans="1:2" x14ac:dyDescent="0.3">
      <c r="A66" s="7" t="s">
        <v>729</v>
      </c>
      <c r="B66" s="1">
        <v>-74.660633484162901</v>
      </c>
    </row>
    <row r="67" spans="1:2" x14ac:dyDescent="0.3">
      <c r="A67" s="7" t="s">
        <v>605</v>
      </c>
      <c r="B67" s="1">
        <v>0</v>
      </c>
    </row>
    <row r="68" spans="1:2" x14ac:dyDescent="0.3">
      <c r="A68" s="7" t="s">
        <v>454</v>
      </c>
      <c r="B68" s="1">
        <v>-90.987124463519308</v>
      </c>
    </row>
    <row r="69" spans="1:2" x14ac:dyDescent="0.3">
      <c r="A69" s="7" t="s">
        <v>869</v>
      </c>
      <c r="B69" s="1">
        <v>-25.504969541519717</v>
      </c>
    </row>
    <row r="70" spans="1:2" x14ac:dyDescent="0.3">
      <c r="A70" s="7" t="s">
        <v>145</v>
      </c>
      <c r="B70" s="1">
        <v>-51.612903225806448</v>
      </c>
    </row>
    <row r="71" spans="1:2" x14ac:dyDescent="0.3">
      <c r="A71" s="7" t="s">
        <v>397</v>
      </c>
      <c r="B71" s="1">
        <v>-44.193333333333335</v>
      </c>
    </row>
    <row r="72" spans="1:2" x14ac:dyDescent="0.3">
      <c r="A72" s="7" t="s">
        <v>811</v>
      </c>
      <c r="B72" s="1">
        <v>-46.510600706713781</v>
      </c>
    </row>
    <row r="73" spans="1:2" x14ac:dyDescent="0.3">
      <c r="A73" s="7" t="s">
        <v>640</v>
      </c>
      <c r="B73" s="1">
        <v>-22.535211267605636</v>
      </c>
    </row>
    <row r="74" spans="1:2" x14ac:dyDescent="0.3">
      <c r="A74" s="7" t="s">
        <v>341</v>
      </c>
      <c r="B74" s="1">
        <v>-34.654545454545456</v>
      </c>
    </row>
    <row r="75" spans="1:2" x14ac:dyDescent="0.3">
      <c r="A75" s="7" t="s">
        <v>472</v>
      </c>
      <c r="B75" s="1">
        <v>-74.007142857142867</v>
      </c>
    </row>
    <row r="76" spans="1:2" x14ac:dyDescent="0.3">
      <c r="A76" s="7" t="s">
        <v>600</v>
      </c>
      <c r="B76" s="1">
        <v>-27.361538461538458</v>
      </c>
    </row>
    <row r="77" spans="1:2" x14ac:dyDescent="0.3">
      <c r="A77" s="7" t="s">
        <v>439</v>
      </c>
      <c r="B77" s="1">
        <v>-61.218678815489746</v>
      </c>
    </row>
    <row r="78" spans="1:2" x14ac:dyDescent="0.3">
      <c r="A78" s="7" t="s">
        <v>267</v>
      </c>
      <c r="B78" s="1">
        <v>11.76470588235294</v>
      </c>
    </row>
    <row r="79" spans="1:2" x14ac:dyDescent="0.3">
      <c r="A79" s="7" t="s">
        <v>668</v>
      </c>
      <c r="B79" s="1">
        <v>-84.108695652173921</v>
      </c>
    </row>
    <row r="80" spans="1:2" x14ac:dyDescent="0.3">
      <c r="A80" s="7" t="s">
        <v>95</v>
      </c>
      <c r="B80" s="1">
        <v>-17.647058823529413</v>
      </c>
    </row>
    <row r="81" spans="1:2" x14ac:dyDescent="0.3">
      <c r="A81" s="7" t="s">
        <v>525</v>
      </c>
      <c r="B81" s="1">
        <v>-58.108705258506411</v>
      </c>
    </row>
    <row r="82" spans="1:2" x14ac:dyDescent="0.3">
      <c r="A82" s="7" t="s">
        <v>66</v>
      </c>
      <c r="B82" s="1">
        <v>-21.052631578947366</v>
      </c>
    </row>
    <row r="83" spans="1:2" x14ac:dyDescent="0.3">
      <c r="A83" s="7" t="s">
        <v>307</v>
      </c>
      <c r="B83" s="1">
        <v>-68.454363757495003</v>
      </c>
    </row>
    <row r="84" spans="1:2" x14ac:dyDescent="0.3">
      <c r="A84" s="7" t="s">
        <v>405</v>
      </c>
      <c r="B84" s="1">
        <v>-30.441478439425051</v>
      </c>
    </row>
    <row r="85" spans="1:2" x14ac:dyDescent="0.3">
      <c r="A85" s="7" t="s">
        <v>249</v>
      </c>
      <c r="B85" s="1">
        <v>-36</v>
      </c>
    </row>
    <row r="86" spans="1:2" x14ac:dyDescent="0.3">
      <c r="A86" s="7" t="s">
        <v>628</v>
      </c>
      <c r="B86" s="1">
        <v>-15.195545898967952</v>
      </c>
    </row>
    <row r="87" spans="1:2" x14ac:dyDescent="0.3">
      <c r="A87" s="7" t="s">
        <v>381</v>
      </c>
      <c r="B87" s="1">
        <v>4.5987478656801368</v>
      </c>
    </row>
    <row r="88" spans="1:2" x14ac:dyDescent="0.3">
      <c r="A88" s="7" t="s">
        <v>391</v>
      </c>
      <c r="B88" s="1">
        <v>83.870967741935488</v>
      </c>
    </row>
    <row r="89" spans="1:2" x14ac:dyDescent="0.3">
      <c r="A89" s="7" t="s">
        <v>297</v>
      </c>
      <c r="B89" s="1">
        <v>-11.76470588235294</v>
      </c>
    </row>
    <row r="90" spans="1:2" x14ac:dyDescent="0.3">
      <c r="A90" s="7" t="s">
        <v>128</v>
      </c>
      <c r="B90" s="1">
        <v>-62.923076923076927</v>
      </c>
    </row>
    <row r="91" spans="1:2" x14ac:dyDescent="0.3">
      <c r="A91" s="7" t="s">
        <v>72</v>
      </c>
      <c r="B91" s="1">
        <v>-7.2727272727272725</v>
      </c>
    </row>
    <row r="92" spans="1:2" x14ac:dyDescent="0.3">
      <c r="A92" s="7" t="s">
        <v>133</v>
      </c>
      <c r="B92" s="1">
        <v>-77.931034482758619</v>
      </c>
    </row>
    <row r="93" spans="1:2" x14ac:dyDescent="0.3">
      <c r="A93" s="7" t="s">
        <v>855</v>
      </c>
      <c r="B93" s="1">
        <v>-67.785724711720917</v>
      </c>
    </row>
    <row r="94" spans="1:2" x14ac:dyDescent="0.3">
      <c r="A94" s="7" t="s">
        <v>60</v>
      </c>
      <c r="B94" s="1">
        <v>-61.379166666666663</v>
      </c>
    </row>
    <row r="95" spans="1:2" x14ac:dyDescent="0.3">
      <c r="A95" s="7" t="s">
        <v>795</v>
      </c>
      <c r="B95" s="1">
        <v>-30.76923076923077</v>
      </c>
    </row>
    <row r="96" spans="1:2" x14ac:dyDescent="0.3">
      <c r="A96" s="7" t="s">
        <v>42</v>
      </c>
      <c r="B96" s="1">
        <v>-17.142857142857142</v>
      </c>
    </row>
    <row r="97" spans="1:2" x14ac:dyDescent="0.3">
      <c r="A97" s="7" t="s">
        <v>160</v>
      </c>
      <c r="B97" s="1">
        <v>-42.857142857142854</v>
      </c>
    </row>
    <row r="98" spans="1:2" x14ac:dyDescent="0.3">
      <c r="A98" s="7" t="s">
        <v>111</v>
      </c>
      <c r="B98" s="1">
        <v>-27.777777777777779</v>
      </c>
    </row>
    <row r="99" spans="1:2" x14ac:dyDescent="0.3">
      <c r="A99" s="7" t="s">
        <v>476</v>
      </c>
      <c r="B99" s="1">
        <v>26.933856502242154</v>
      </c>
    </row>
    <row r="100" spans="1:2" x14ac:dyDescent="0.3">
      <c r="A100" s="7" t="s">
        <v>467</v>
      </c>
      <c r="B100" s="1">
        <v>-32.634864021399913</v>
      </c>
    </row>
    <row r="101" spans="1:2" x14ac:dyDescent="0.3">
      <c r="A101" s="7" t="s">
        <v>17</v>
      </c>
      <c r="B101" s="1">
        <v>-28.915662650602421</v>
      </c>
    </row>
    <row r="102" spans="1:2" x14ac:dyDescent="0.3">
      <c r="A102" s="7" t="s">
        <v>428</v>
      </c>
      <c r="B102" s="1">
        <v>-62.028571428571432</v>
      </c>
    </row>
    <row r="103" spans="1:2" x14ac:dyDescent="0.3">
      <c r="A103" s="7" t="s">
        <v>217</v>
      </c>
      <c r="B103" s="1">
        <v>24.137931034482758</v>
      </c>
    </row>
    <row r="104" spans="1:2" x14ac:dyDescent="0.3">
      <c r="A104" s="7" t="s">
        <v>551</v>
      </c>
      <c r="B104" s="1">
        <v>-55.244996549344371</v>
      </c>
    </row>
    <row r="105" spans="1:2" x14ac:dyDescent="0.3">
      <c r="A105" s="7" t="s">
        <v>759</v>
      </c>
      <c r="B105" s="1">
        <v>-74.884259259259252</v>
      </c>
    </row>
    <row r="106" spans="1:2" x14ac:dyDescent="0.3">
      <c r="A106" s="7" t="s">
        <v>486</v>
      </c>
      <c r="B106" s="1">
        <v>-29.166666666666668</v>
      </c>
    </row>
    <row r="107" spans="1:2" x14ac:dyDescent="0.3">
      <c r="A107" s="7" t="s">
        <v>24</v>
      </c>
      <c r="B107" s="1">
        <v>-35.294117647058826</v>
      </c>
    </row>
    <row r="108" spans="1:2" x14ac:dyDescent="0.3">
      <c r="A108" s="7" t="s">
        <v>400</v>
      </c>
      <c r="B108" s="1">
        <v>-72.793931731984827</v>
      </c>
    </row>
    <row r="109" spans="1:2" x14ac:dyDescent="0.3">
      <c r="A109" s="7" t="s">
        <v>687</v>
      </c>
      <c r="B109" s="1">
        <v>-53.014133256417651</v>
      </c>
    </row>
    <row r="110" spans="1:2" x14ac:dyDescent="0.3">
      <c r="A110" s="7" t="s">
        <v>506</v>
      </c>
      <c r="B110" s="1">
        <v>-68.235294117647058</v>
      </c>
    </row>
    <row r="111" spans="1:2" x14ac:dyDescent="0.3">
      <c r="A111" s="7" t="s">
        <v>877</v>
      </c>
      <c r="B111" s="1">
        <v>-57.26849456802897</v>
      </c>
    </row>
    <row r="112" spans="1:2" x14ac:dyDescent="0.3">
      <c r="A112" s="7" t="s">
        <v>589</v>
      </c>
      <c r="B112" s="1">
        <v>-48.266400598653028</v>
      </c>
    </row>
    <row r="113" spans="1:2" x14ac:dyDescent="0.3">
      <c r="A113" s="7" t="s">
        <v>816</v>
      </c>
      <c r="B113" s="1">
        <v>-59.697386519944985</v>
      </c>
    </row>
    <row r="114" spans="1:2" x14ac:dyDescent="0.3">
      <c r="A114" s="7" t="s">
        <v>703</v>
      </c>
      <c r="B114" s="1">
        <v>-100</v>
      </c>
    </row>
    <row r="115" spans="1:2" x14ac:dyDescent="0.3">
      <c r="A115" s="7" t="s">
        <v>584</v>
      </c>
      <c r="B115" s="1">
        <v>-46.817359855334537</v>
      </c>
    </row>
    <row r="116" spans="1:2" x14ac:dyDescent="0.3">
      <c r="A116" s="7" t="s">
        <v>334</v>
      </c>
      <c r="B116" s="1">
        <v>-41.975000000000001</v>
      </c>
    </row>
    <row r="117" spans="1:2" x14ac:dyDescent="0.3">
      <c r="A117" s="7" t="s">
        <v>355</v>
      </c>
      <c r="B117" s="1">
        <v>-36.720796228391826</v>
      </c>
    </row>
    <row r="118" spans="1:2" x14ac:dyDescent="0.3">
      <c r="A118" s="7" t="s">
        <v>372</v>
      </c>
      <c r="B118" s="1">
        <v>-35.113619916051526</v>
      </c>
    </row>
    <row r="119" spans="1:2" x14ac:dyDescent="0.3">
      <c r="A119" s="7" t="s">
        <v>645</v>
      </c>
      <c r="B119" s="1">
        <v>-18.14</v>
      </c>
    </row>
    <row r="120" spans="1:2" x14ac:dyDescent="0.3">
      <c r="A120" s="7" t="s">
        <v>665</v>
      </c>
      <c r="B120" s="1">
        <v>-100</v>
      </c>
    </row>
    <row r="121" spans="1:2" x14ac:dyDescent="0.3">
      <c r="A121" s="7" t="s">
        <v>301</v>
      </c>
      <c r="B121" s="1">
        <v>2.016250376166115</v>
      </c>
    </row>
    <row r="122" spans="1:2" x14ac:dyDescent="0.3">
      <c r="A122" s="7" t="s">
        <v>743</v>
      </c>
      <c r="B122" s="1">
        <v>-6.4456411982497475</v>
      </c>
    </row>
    <row r="123" spans="1:2" x14ac:dyDescent="0.3">
      <c r="A123" s="7" t="s">
        <v>776</v>
      </c>
      <c r="B123" s="1">
        <v>-67.357251136937847</v>
      </c>
    </row>
    <row r="124" spans="1:2" x14ac:dyDescent="0.3">
      <c r="A124" s="7" t="s">
        <v>462</v>
      </c>
      <c r="B124" s="1">
        <v>-12.748037116345468</v>
      </c>
    </row>
    <row r="125" spans="1:2" x14ac:dyDescent="0.3">
      <c r="A125" s="7" t="s">
        <v>117</v>
      </c>
      <c r="B125" s="1">
        <v>-29.723076923076924</v>
      </c>
    </row>
    <row r="126" spans="1:2" x14ac:dyDescent="0.3">
      <c r="A126" s="7" t="s">
        <v>375</v>
      </c>
      <c r="B126" s="1">
        <v>25</v>
      </c>
    </row>
    <row r="127" spans="1:2" x14ac:dyDescent="0.3">
      <c r="A127" s="7" t="s">
        <v>442</v>
      </c>
      <c r="B127" s="1">
        <v>-38.888888888888893</v>
      </c>
    </row>
    <row r="128" spans="1:2" x14ac:dyDescent="0.3">
      <c r="A128" s="7" t="s">
        <v>873</v>
      </c>
      <c r="B128" s="1">
        <v>-46.721311475409841</v>
      </c>
    </row>
    <row r="129" spans="1:2" x14ac:dyDescent="0.3">
      <c r="A129" s="7" t="s">
        <v>272</v>
      </c>
      <c r="B129" s="1">
        <v>-31.03448275862069</v>
      </c>
    </row>
    <row r="130" spans="1:2" x14ac:dyDescent="0.3">
      <c r="A130" s="7" t="s">
        <v>209</v>
      </c>
      <c r="B130" s="1">
        <v>0</v>
      </c>
    </row>
    <row r="131" spans="1:2" x14ac:dyDescent="0.3">
      <c r="A131" s="7" t="s">
        <v>699</v>
      </c>
      <c r="B131" s="1">
        <v>-53.19630010277492</v>
      </c>
    </row>
    <row r="132" spans="1:2" x14ac:dyDescent="0.3">
      <c r="A132" s="7" t="s">
        <v>78</v>
      </c>
      <c r="B132" s="1">
        <v>-47.286565188616805</v>
      </c>
    </row>
    <row r="133" spans="1:2" x14ac:dyDescent="0.3">
      <c r="A133" s="7" t="s">
        <v>567</v>
      </c>
      <c r="B133" s="1">
        <v>-72.195892575039494</v>
      </c>
    </row>
    <row r="134" spans="1:2" x14ac:dyDescent="0.3">
      <c r="A134" s="7" t="s">
        <v>784</v>
      </c>
      <c r="B134" s="1">
        <v>-44.81760277938622</v>
      </c>
    </row>
    <row r="135" spans="1:2" x14ac:dyDescent="0.3">
      <c r="A135" s="7" t="s">
        <v>257</v>
      </c>
      <c r="B135" s="1">
        <v>-46.898597626752967</v>
      </c>
    </row>
    <row r="136" spans="1:2" x14ac:dyDescent="0.3">
      <c r="A136" s="7" t="s">
        <v>252</v>
      </c>
      <c r="B136" s="1">
        <v>-75.326666666666668</v>
      </c>
    </row>
    <row r="137" spans="1:2" x14ac:dyDescent="0.3">
      <c r="A137" s="7" t="s">
        <v>122</v>
      </c>
      <c r="B137" s="1">
        <v>-29.629629629629626</v>
      </c>
    </row>
    <row r="138" spans="1:2" x14ac:dyDescent="0.3">
      <c r="A138" s="7" t="s">
        <v>105</v>
      </c>
      <c r="B138" s="1">
        <v>-52.380952380952387</v>
      </c>
    </row>
    <row r="139" spans="1:2" x14ac:dyDescent="0.3">
      <c r="A139" s="7" t="s">
        <v>882</v>
      </c>
      <c r="B139" s="1">
        <v>-35.005558643690939</v>
      </c>
    </row>
    <row r="140" spans="1:2" x14ac:dyDescent="0.3">
      <c r="A140" s="7" t="s">
        <v>610</v>
      </c>
      <c r="B140" s="1">
        <v>-63.4958071278826</v>
      </c>
    </row>
    <row r="141" spans="1:2" x14ac:dyDescent="0.3">
      <c r="A141" s="7" t="s">
        <v>84</v>
      </c>
      <c r="B141" s="1">
        <v>-44.741641337386021</v>
      </c>
    </row>
    <row r="142" spans="1:2" x14ac:dyDescent="0.3">
      <c r="A142" s="7" t="s">
        <v>573</v>
      </c>
      <c r="B142" s="1">
        <v>-53.664192949907232</v>
      </c>
    </row>
    <row r="143" spans="1:2" x14ac:dyDescent="0.3">
      <c r="A143" s="7" t="s">
        <v>648</v>
      </c>
      <c r="B143" s="1">
        <v>-48.035714285714285</v>
      </c>
    </row>
    <row r="144" spans="1:2" x14ac:dyDescent="0.3">
      <c r="A144" s="7" t="s">
        <v>529</v>
      </c>
      <c r="B144" s="1">
        <v>-81.73578687173854</v>
      </c>
    </row>
    <row r="145" spans="1:2" x14ac:dyDescent="0.3">
      <c r="A145" s="7" t="s">
        <v>827</v>
      </c>
      <c r="B145" s="1">
        <v>-47.71615008156607</v>
      </c>
    </row>
    <row r="146" spans="1:2" x14ac:dyDescent="0.3">
      <c r="A146" s="7" t="s">
        <v>750</v>
      </c>
      <c r="B146" s="1">
        <v>-51.176586909234722</v>
      </c>
    </row>
    <row r="147" spans="1:2" x14ac:dyDescent="0.3">
      <c r="A147" s="7" t="s">
        <v>511</v>
      </c>
      <c r="B147" s="1">
        <v>-22.222222222222221</v>
      </c>
    </row>
    <row r="148" spans="1:2" x14ac:dyDescent="0.3">
      <c r="A148" s="7" t="s">
        <v>394</v>
      </c>
      <c r="B148" s="1">
        <v>-66.957142857142856</v>
      </c>
    </row>
    <row r="149" spans="1:2" x14ac:dyDescent="0.3">
      <c r="A149" s="7" t="s">
        <v>739</v>
      </c>
      <c r="B149" s="1">
        <v>-55.279655808236015</v>
      </c>
    </row>
    <row r="150" spans="1:2" x14ac:dyDescent="0.3">
      <c r="A150" s="7" t="s">
        <v>501</v>
      </c>
      <c r="B150" s="1">
        <v>-64.607948442534919</v>
      </c>
    </row>
    <row r="151" spans="1:2" x14ac:dyDescent="0.3">
      <c r="A151" s="7" t="s">
        <v>682</v>
      </c>
      <c r="B151" s="1">
        <v>-26.120033812341504</v>
      </c>
    </row>
    <row r="152" spans="1:2" x14ac:dyDescent="0.3">
      <c r="A152" s="7" t="s">
        <v>212</v>
      </c>
      <c r="B152" s="1">
        <v>-49.818750000000001</v>
      </c>
    </row>
    <row r="153" spans="1:2" x14ac:dyDescent="0.3">
      <c r="A153" s="7" t="s">
        <v>345</v>
      </c>
      <c r="B153" s="1">
        <v>-35.624375624375624</v>
      </c>
    </row>
    <row r="154" spans="1:2" x14ac:dyDescent="0.3">
      <c r="A154" s="7" t="s">
        <v>318</v>
      </c>
      <c r="B154" s="1">
        <v>-5.2468338071853191</v>
      </c>
    </row>
    <row r="155" spans="1:2" x14ac:dyDescent="0.3">
      <c r="A155" s="7" t="s">
        <v>886</v>
      </c>
      <c r="B155" s="1">
        <v>-58.053402239448751</v>
      </c>
    </row>
    <row r="156" spans="1:2" x14ac:dyDescent="0.3">
      <c r="A156" s="7" t="s">
        <v>661</v>
      </c>
      <c r="B156" s="1">
        <v>-70.069999999999993</v>
      </c>
    </row>
    <row r="157" spans="1:2" x14ac:dyDescent="0.3">
      <c r="A157" s="7" t="s">
        <v>169</v>
      </c>
      <c r="B157" s="1">
        <v>-40.945593254366592</v>
      </c>
    </row>
    <row r="158" spans="1:2" x14ac:dyDescent="0.3">
      <c r="A158" s="7" t="s">
        <v>754</v>
      </c>
      <c r="B158" s="1">
        <v>-100</v>
      </c>
    </row>
    <row r="159" spans="1:2" x14ac:dyDescent="0.3">
      <c r="A159" s="7" t="s">
        <v>420</v>
      </c>
      <c r="B159" s="1">
        <v>-63.333333333333329</v>
      </c>
    </row>
    <row r="160" spans="1:2" x14ac:dyDescent="0.3">
      <c r="A160" s="7" t="s">
        <v>286</v>
      </c>
      <c r="B160" s="1">
        <v>-62.687593080536139</v>
      </c>
    </row>
    <row r="161" spans="1:2" x14ac:dyDescent="0.3">
      <c r="A161" s="7" t="s">
        <v>350</v>
      </c>
      <c r="B161" s="1">
        <v>30.434782608695656</v>
      </c>
    </row>
    <row r="162" spans="1:2" x14ac:dyDescent="0.3">
      <c r="A162" s="7" t="s">
        <v>719</v>
      </c>
      <c r="B162" s="1">
        <v>-64.752333094041632</v>
      </c>
    </row>
    <row r="163" spans="1:2" x14ac:dyDescent="0.3">
      <c r="A163" s="7" t="s">
        <v>802</v>
      </c>
      <c r="B163" s="1">
        <v>-16.979010494752625</v>
      </c>
    </row>
    <row r="164" spans="1:2" x14ac:dyDescent="0.3">
      <c r="A164" s="7" t="s">
        <v>30</v>
      </c>
      <c r="B164" s="1">
        <v>-46.774193548387096</v>
      </c>
    </row>
    <row r="165" spans="1:2" x14ac:dyDescent="0.3">
      <c r="A165" s="7" t="s">
        <v>435</v>
      </c>
      <c r="B165" s="1">
        <v>-49.281818181818181</v>
      </c>
    </row>
    <row r="166" spans="1:2" x14ac:dyDescent="0.3">
      <c r="A166" s="7" t="s">
        <v>790</v>
      </c>
      <c r="B166" s="1">
        <v>-40</v>
      </c>
    </row>
    <row r="167" spans="1:2" x14ac:dyDescent="0.3">
      <c r="A167" s="7" t="s">
        <v>222</v>
      </c>
      <c r="B167" s="1">
        <v>-68.751922879704637</v>
      </c>
    </row>
    <row r="168" spans="1:2" x14ac:dyDescent="0.3">
      <c r="A168" s="7" t="s">
        <v>263</v>
      </c>
      <c r="B168" s="1">
        <v>-42.857142857142854</v>
      </c>
    </row>
    <row r="169" spans="1:2" x14ac:dyDescent="0.3">
      <c r="A169" s="7" t="s">
        <v>841</v>
      </c>
      <c r="B169" s="1">
        <v>-66.206990715456044</v>
      </c>
    </row>
    <row r="170" spans="1:2" x14ac:dyDescent="0.3">
      <c r="A170" s="7" t="s">
        <v>239</v>
      </c>
      <c r="B170" s="1">
        <v>-46.256250000000001</v>
      </c>
    </row>
    <row r="171" spans="1:2" x14ac:dyDescent="0.3">
      <c r="A171" s="7" t="s">
        <v>807</v>
      </c>
      <c r="B171" s="1">
        <v>-46.928571428571431</v>
      </c>
    </row>
    <row r="172" spans="1:2" x14ac:dyDescent="0.3">
      <c r="A172" s="7" t="s">
        <v>227</v>
      </c>
      <c r="B172" s="1">
        <v>-38.242513500245458</v>
      </c>
    </row>
    <row r="173" spans="1:2" x14ac:dyDescent="0.3">
      <c r="A173" s="7" t="s">
        <v>865</v>
      </c>
      <c r="B173" s="1">
        <v>-20.96713260294673</v>
      </c>
    </row>
    <row r="174" spans="1:2" x14ac:dyDescent="0.3">
      <c r="A174" s="7" t="s">
        <v>329</v>
      </c>
      <c r="B174" s="1">
        <v>31.111111111111111</v>
      </c>
    </row>
    <row r="175" spans="1:2" x14ac:dyDescent="0.3">
      <c r="A175" s="7" t="s">
        <v>578</v>
      </c>
      <c r="B175" s="1">
        <v>9.0909090909090917</v>
      </c>
    </row>
    <row r="176" spans="1:2" x14ac:dyDescent="0.3">
      <c r="A176" s="7" t="s">
        <v>424</v>
      </c>
      <c r="B176" s="1">
        <v>-60.562827225130889</v>
      </c>
    </row>
    <row r="177" spans="1:2" x14ac:dyDescent="0.3">
      <c r="A177" s="7" t="s">
        <v>413</v>
      </c>
      <c r="B177" s="1">
        <v>-72.233798708064185</v>
      </c>
    </row>
    <row r="178" spans="1:2" x14ac:dyDescent="0.3">
      <c r="A178" s="7" t="s">
        <v>90</v>
      </c>
      <c r="B178" s="1">
        <v>-4.1666666666666661</v>
      </c>
    </row>
    <row r="179" spans="1:2" x14ac:dyDescent="0.3">
      <c r="A179" s="7" t="s">
        <v>691</v>
      </c>
      <c r="B179" s="1">
        <v>-74.689028651292801</v>
      </c>
    </row>
    <row r="180" spans="1:2" x14ac:dyDescent="0.3">
      <c r="A180" s="7" t="s">
        <v>164</v>
      </c>
      <c r="B180" s="1">
        <v>-80.570749108204524</v>
      </c>
    </row>
    <row r="181" spans="1:2" x14ac:dyDescent="0.3">
      <c r="A181" s="7" t="s">
        <v>558</v>
      </c>
      <c r="B181" s="1">
        <v>-71.681818181818187</v>
      </c>
    </row>
    <row r="182" spans="1:2" x14ac:dyDescent="0.3">
      <c r="A182" s="7" t="s">
        <v>36</v>
      </c>
      <c r="B182" s="1">
        <v>-64.984210526315792</v>
      </c>
    </row>
    <row r="183" spans="1:2" x14ac:dyDescent="0.3">
      <c r="A183" s="7" t="s">
        <v>652</v>
      </c>
      <c r="B183" s="1">
        <v>45.454545454545453</v>
      </c>
    </row>
    <row r="184" spans="1:2" x14ac:dyDescent="0.3">
      <c r="A184" s="7" t="s">
        <v>480</v>
      </c>
      <c r="B184" s="1">
        <v>-18.181818181818183</v>
      </c>
    </row>
    <row r="185" spans="1:2" x14ac:dyDescent="0.3">
      <c r="A185" s="7" t="s">
        <v>793</v>
      </c>
      <c r="B185" s="1">
        <v>-61.554545454545448</v>
      </c>
    </row>
    <row r="186" spans="1:2" x14ac:dyDescent="0.3">
      <c r="A186" s="7" t="s">
        <v>281</v>
      </c>
      <c r="B186" s="1">
        <v>35.185185185185183</v>
      </c>
    </row>
    <row r="187" spans="1:2" x14ac:dyDescent="0.3">
      <c r="A187" s="7" t="s">
        <v>820</v>
      </c>
      <c r="B187" s="1">
        <v>-10.666443402545212</v>
      </c>
    </row>
    <row r="188" spans="1:2" x14ac:dyDescent="0.3">
      <c r="A188" s="7" t="s">
        <v>554</v>
      </c>
      <c r="B188" s="1">
        <v>-13.333333333333334</v>
      </c>
    </row>
    <row r="189" spans="1:2" x14ac:dyDescent="0.3">
      <c r="A189" s="7" t="s">
        <v>580</v>
      </c>
      <c r="B189" s="1">
        <v>-14.285714285714285</v>
      </c>
    </row>
    <row r="190" spans="1:2" x14ac:dyDescent="0.3">
      <c r="A190" s="7" t="s">
        <v>538</v>
      </c>
      <c r="B190" s="1">
        <v>-53.793973812904241</v>
      </c>
    </row>
    <row r="191" spans="1:2" x14ac:dyDescent="0.3">
      <c r="A191" s="7" t="s">
        <v>603</v>
      </c>
      <c r="B191" s="1">
        <v>-41.772727272727273</v>
      </c>
    </row>
    <row r="192" spans="1:2" x14ac:dyDescent="0.3">
      <c r="A192" s="7" t="s">
        <v>243</v>
      </c>
      <c r="B192" s="1">
        <v>-79.727891156462576</v>
      </c>
    </row>
    <row r="193" spans="1:2" x14ac:dyDescent="0.3">
      <c r="A193" s="7" t="s">
        <v>205</v>
      </c>
      <c r="B193" s="1">
        <v>-65.55</v>
      </c>
    </row>
    <row r="194" spans="1:2" x14ac:dyDescent="0.3">
      <c r="A194" s="7" t="s">
        <v>101</v>
      </c>
      <c r="B194" s="1">
        <v>-42.857142857142854</v>
      </c>
    </row>
    <row r="195" spans="1:2" x14ac:dyDescent="0.3">
      <c r="A195" s="7" t="s">
        <v>747</v>
      </c>
      <c r="B195" s="1">
        <v>-100</v>
      </c>
    </row>
    <row r="196" spans="1:2" x14ac:dyDescent="0.3">
      <c r="A196" s="7" t="s">
        <v>363</v>
      </c>
      <c r="B196" s="1">
        <v>-79.806250000000006</v>
      </c>
    </row>
    <row r="197" spans="1:2" x14ac:dyDescent="0.3">
      <c r="A197" s="7" t="s">
        <v>316</v>
      </c>
      <c r="B197" s="1">
        <v>-100</v>
      </c>
    </row>
    <row r="198" spans="1:2" x14ac:dyDescent="0.3">
      <c r="A198" s="7" t="s">
        <v>723</v>
      </c>
      <c r="B198" s="1">
        <v>-70.980687233508903</v>
      </c>
    </row>
    <row r="199" spans="1:2" x14ac:dyDescent="0.3">
      <c r="A199" s="7" t="s">
        <v>694</v>
      </c>
      <c r="B199" s="1">
        <v>-46.378653113087672</v>
      </c>
    </row>
    <row r="200" spans="1:2" x14ac:dyDescent="0.3">
      <c r="A200" s="7" t="s">
        <v>409</v>
      </c>
      <c r="B200" s="1">
        <v>91.304347826086953</v>
      </c>
    </row>
    <row r="201" spans="1:2" x14ac:dyDescent="0.3">
      <c r="A201" s="7" t="s">
        <v>548</v>
      </c>
      <c r="B201" s="1">
        <v>-14.893617021276595</v>
      </c>
    </row>
    <row r="202" spans="1:2" x14ac:dyDescent="0.3">
      <c r="A202" s="7" t="s">
        <v>139</v>
      </c>
      <c r="B202" s="1">
        <v>-17.241379310344829</v>
      </c>
    </row>
    <row r="203" spans="1:2" x14ac:dyDescent="0.3">
      <c r="A203" s="7" t="s">
        <v>861</v>
      </c>
      <c r="B203" s="1">
        <v>-51.572727272727271</v>
      </c>
    </row>
    <row r="204" spans="1:2" x14ac:dyDescent="0.3">
      <c r="A204" s="7" t="s">
        <v>903</v>
      </c>
      <c r="B204" s="1">
        <v>-8200.4221332289617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09204-6405-4790-8792-568FF9846223}">
  <dimension ref="A1:T201"/>
  <sheetViews>
    <sheetView topLeftCell="D1" zoomScaleNormal="100" workbookViewId="0">
      <selection activeCell="H10" sqref="H10"/>
    </sheetView>
  </sheetViews>
  <sheetFormatPr defaultRowHeight="14.4" x14ac:dyDescent="0.3"/>
  <cols>
    <col min="3" max="3" width="13.44140625" customWidth="1"/>
    <col min="4" max="4" width="15.109375" customWidth="1"/>
    <col min="5" max="5" width="8.88671875" style="3"/>
    <col min="6" max="6" width="16.44140625" style="3" customWidth="1"/>
    <col min="7" max="7" width="8.88671875" style="3"/>
    <col min="8" max="8" width="15.6640625" style="3" customWidth="1"/>
    <col min="9" max="9" width="8.88671875" style="2"/>
    <col min="10" max="10" width="14.77734375" customWidth="1"/>
    <col min="11" max="11" width="19.88671875" style="2" customWidth="1"/>
    <col min="12" max="12" width="16.21875" style="2" customWidth="1"/>
    <col min="13" max="13" width="17.88671875" style="2" customWidth="1"/>
    <col min="14" max="14" width="8" style="2" customWidth="1"/>
    <col min="15" max="15" width="12.6640625" customWidth="1"/>
    <col min="16" max="16" width="17.88671875" style="2" customWidth="1"/>
    <col min="17" max="17" width="17.88671875" style="4" customWidth="1"/>
    <col min="18" max="18" width="14.77734375" style="2" customWidth="1"/>
    <col min="19" max="19" width="15.44140625" customWidth="1"/>
    <col min="20" max="20" width="12.5546875" style="2" customWidth="1"/>
  </cols>
  <sheetData>
    <row r="1" spans="1:20" x14ac:dyDescent="0.3">
      <c r="A1" t="s">
        <v>0</v>
      </c>
      <c r="B1" t="s">
        <v>1</v>
      </c>
      <c r="C1" t="s">
        <v>2</v>
      </c>
      <c r="D1" t="s">
        <v>894</v>
      </c>
      <c r="E1" s="3" t="s">
        <v>3</v>
      </c>
      <c r="F1" s="3" t="s">
        <v>893</v>
      </c>
      <c r="G1" s="3" t="s">
        <v>4</v>
      </c>
      <c r="H1" s="3" t="s">
        <v>895</v>
      </c>
      <c r="I1" s="2" t="s">
        <v>5</v>
      </c>
      <c r="J1" t="s">
        <v>6</v>
      </c>
      <c r="K1" s="2" t="s">
        <v>898</v>
      </c>
      <c r="L1" s="2" t="s">
        <v>7</v>
      </c>
      <c r="M1" s="2" t="s">
        <v>896</v>
      </c>
      <c r="N1" s="2" t="s">
        <v>8</v>
      </c>
      <c r="O1" t="s">
        <v>9</v>
      </c>
      <c r="P1" s="2" t="s">
        <v>892</v>
      </c>
      <c r="Q1" s="4" t="s">
        <v>897</v>
      </c>
      <c r="R1" s="2" t="s">
        <v>899</v>
      </c>
      <c r="S1" t="s">
        <v>900</v>
      </c>
      <c r="T1" s="2" t="s">
        <v>901</v>
      </c>
    </row>
    <row r="2" spans="1:20" x14ac:dyDescent="0.3">
      <c r="A2">
        <v>1</v>
      </c>
      <c r="B2" t="s">
        <v>10</v>
      </c>
      <c r="C2">
        <v>92</v>
      </c>
      <c r="D2">
        <f>IF(RIGHT(E2,1)="k",VALUE(LEFT(E2,LEN(E2)-1))*1000)</f>
        <v>3300</v>
      </c>
      <c r="E2" s="3" t="s">
        <v>11</v>
      </c>
      <c r="F2" s="3">
        <f t="shared" ref="F2:F33" si="0">IF(RIGHT(G2,1)="m",VALUE(LEFT(G2,LEN(G2)-1))*1000000)</f>
        <v>475800000</v>
      </c>
      <c r="G2" s="3" t="s">
        <v>12</v>
      </c>
      <c r="H2" s="3">
        <f>IF(RIGHT(F2,1)="k", VALUE(LEFT(F2,LEN(F2)-1))*1000,
 IF(RIGHT(I2,1)="m", VALUE(LEFT(I2,LEN(I2)-1))*1000000,
 IF(RIGHT(I2,1)="b", VALUE(LEFT(I2,LEN(I2)-1))*1000000000,
 VALUE(I2))))</f>
        <v>8700000</v>
      </c>
      <c r="I2" s="2" t="s">
        <v>13</v>
      </c>
      <c r="J2" s="1">
        <v>1.3899999999999999E-2</v>
      </c>
      <c r="K2" s="2">
        <f>IF(RIGHT(L2,1)="k", VALUE(LEFT(L2,LEN(L2)-1))*1000,
 IF(RIGHT(L2,1)="m", VALUE(LEFT(L2,LEN(L2)-1))*1000000,
 IF(RIGHT(L2,1)="b", VALUE(LEFT(L2,LEN(L2)-1))*1000000000,
 VALUE(L2))))</f>
        <v>6500000</v>
      </c>
      <c r="L2" s="2" t="s">
        <v>14</v>
      </c>
      <c r="M2" s="2">
        <f>IF(RIGHT(N2,1)="k", VALUE(LEFT(N2,LEN(N2)-1))*1000,
 IF(RIGHT(N2,1)="m", VALUE(LEFT(N2,LEN(N2)-1))*1000000,
 IF(RIGHT(N2,1)="b", VALUE(LEFT(N2,LEN(N2)-1))*1000000000,
 VALUE(N2))))</f>
        <v>29000000000</v>
      </c>
      <c r="N2" s="2" t="s">
        <v>15</v>
      </c>
      <c r="O2" t="s">
        <v>16</v>
      </c>
      <c r="P2" s="2">
        <f>(K2 / F2) * 100</f>
        <v>1.3661202185792349</v>
      </c>
      <c r="Q2" s="4">
        <f>((K2 - H2) / H2) * 100</f>
        <v>-25.287356321839084</v>
      </c>
      <c r="R2" s="2">
        <f>M2 / F2</f>
        <v>60.94997898276587</v>
      </c>
      <c r="S2" s="5">
        <f>D2 / F2</f>
        <v>6.9356872635561157E-6</v>
      </c>
      <c r="T2" s="2">
        <f>M2 / D2</f>
        <v>8787878.7878787871</v>
      </c>
    </row>
    <row r="3" spans="1:20" x14ac:dyDescent="0.3">
      <c r="A3">
        <v>2</v>
      </c>
      <c r="B3" t="s">
        <v>17</v>
      </c>
      <c r="C3">
        <v>91</v>
      </c>
      <c r="D3">
        <f t="shared" ref="D3:D66" si="1">IF(RIGHT(E3,1)="k",VALUE(LEFT(E3,LEN(E3)-1))*1000)</f>
        <v>6900</v>
      </c>
      <c r="E3" s="3" t="s">
        <v>18</v>
      </c>
      <c r="F3" s="3">
        <f t="shared" si="0"/>
        <v>366200000</v>
      </c>
      <c r="G3" s="3" t="s">
        <v>19</v>
      </c>
      <c r="H3" s="3">
        <f t="shared" ref="H3:H55" si="2">IF(RIGHT(F3,1)="k", VALUE(LEFT(F3,LEN(F3)-1))*1000,
 IF(RIGHT(I3,1)="m", VALUE(LEFT(I3,LEN(I3)-1))*1000000,
 IF(RIGHT(I3,1)="b", VALUE(LEFT(I3,LEN(I3)-1))*1000000000,
 VALUE(I3))))</f>
        <v>8300000.0000000009</v>
      </c>
      <c r="I3" s="2" t="s">
        <v>20</v>
      </c>
      <c r="J3" s="1">
        <v>1.6199999999999999E-2</v>
      </c>
      <c r="K3" s="2">
        <f t="shared" ref="K3:K66" si="3">IF(RIGHT(L3,1)="k", VALUE(LEFT(L3,LEN(L3)-1))*1000,
 IF(RIGHT(L3,1)="m", VALUE(LEFT(L3,LEN(L3)-1))*1000000,
 IF(RIGHT(L3,1)="b", VALUE(LEFT(L3,LEN(L3)-1))*1000000000,
 VALUE(L3))))</f>
        <v>5900000</v>
      </c>
      <c r="L3" s="2" t="s">
        <v>21</v>
      </c>
      <c r="M3" s="2">
        <f t="shared" ref="M3:M66" si="4">IF(RIGHT(N3,1)="k", VALUE(LEFT(N3,LEN(N3)-1))*1000,
 IF(RIGHT(N3,1)="m", VALUE(LEFT(N3,LEN(N3)-1))*1000000,
 IF(RIGHT(N3,1)="b", VALUE(LEFT(N3,LEN(N3)-1))*1000000000,
 VALUE(N3))))</f>
        <v>57400000000</v>
      </c>
      <c r="N3" s="2" t="s">
        <v>22</v>
      </c>
      <c r="O3" t="s">
        <v>23</v>
      </c>
      <c r="P3" s="2">
        <f t="shared" ref="P3:P66" si="5">(K3 / F3) * 100</f>
        <v>1.6111414527580556</v>
      </c>
      <c r="Q3" s="4">
        <f t="shared" ref="Q3:Q66" si="6">((K3 - H3) / H3) * 100</f>
        <v>-28.915662650602421</v>
      </c>
      <c r="R3" s="2">
        <f t="shared" ref="R3:R66" si="7">M3 / F3</f>
        <v>156.74494811578373</v>
      </c>
      <c r="S3" s="5">
        <f t="shared" ref="S3:S66" si="8">D3 / F3</f>
        <v>1.8842162752594212E-5</v>
      </c>
      <c r="T3" s="2">
        <f t="shared" ref="T3:T66" si="9">M3 / D3</f>
        <v>8318840.5797101445</v>
      </c>
    </row>
    <row r="4" spans="1:20" x14ac:dyDescent="0.3">
      <c r="A4">
        <v>3</v>
      </c>
      <c r="B4" t="s">
        <v>24</v>
      </c>
      <c r="C4">
        <v>90</v>
      </c>
      <c r="D4">
        <f t="shared" si="1"/>
        <v>890</v>
      </c>
      <c r="E4" s="3" t="s">
        <v>25</v>
      </c>
      <c r="F4" s="3">
        <f t="shared" si="0"/>
        <v>357300000</v>
      </c>
      <c r="G4" s="3" t="s">
        <v>26</v>
      </c>
      <c r="H4" s="3">
        <f t="shared" si="2"/>
        <v>6800000</v>
      </c>
      <c r="I4" s="2" t="s">
        <v>27</v>
      </c>
      <c r="J4" s="1">
        <v>1.24E-2</v>
      </c>
      <c r="K4" s="2">
        <f t="shared" si="3"/>
        <v>4400000</v>
      </c>
      <c r="L4" s="2" t="s">
        <v>28</v>
      </c>
      <c r="M4" s="2">
        <f t="shared" si="4"/>
        <v>6000000000</v>
      </c>
      <c r="N4" s="2" t="s">
        <v>29</v>
      </c>
      <c r="O4" t="s">
        <v>891</v>
      </c>
      <c r="P4" s="2">
        <f t="shared" si="5"/>
        <v>1.2314581584102995</v>
      </c>
      <c r="Q4" s="4">
        <f t="shared" si="6"/>
        <v>-35.294117647058826</v>
      </c>
      <c r="R4" s="2">
        <f t="shared" si="7"/>
        <v>16.792611251049539</v>
      </c>
      <c r="S4" s="5">
        <f t="shared" si="8"/>
        <v>2.490904002239015E-6</v>
      </c>
      <c r="T4" s="2">
        <f t="shared" si="9"/>
        <v>6741573.0337078655</v>
      </c>
    </row>
    <row r="5" spans="1:20" x14ac:dyDescent="0.3">
      <c r="A5">
        <v>4</v>
      </c>
      <c r="B5" t="s">
        <v>30</v>
      </c>
      <c r="C5">
        <v>93</v>
      </c>
      <c r="D5">
        <f t="shared" si="1"/>
        <v>1800</v>
      </c>
      <c r="E5" s="3" t="s">
        <v>31</v>
      </c>
      <c r="F5" s="3">
        <f t="shared" si="0"/>
        <v>342700000</v>
      </c>
      <c r="G5" s="3" t="s">
        <v>32</v>
      </c>
      <c r="H5" s="3">
        <f t="shared" si="2"/>
        <v>6200000</v>
      </c>
      <c r="I5" s="2" t="s">
        <v>33</v>
      </c>
      <c r="J5" s="1">
        <v>9.7000000000000003E-3</v>
      </c>
      <c r="K5" s="2">
        <f t="shared" si="3"/>
        <v>3300000</v>
      </c>
      <c r="L5" s="2" t="s">
        <v>34</v>
      </c>
      <c r="M5" s="2">
        <f t="shared" si="4"/>
        <v>11500000000</v>
      </c>
      <c r="N5" s="2" t="s">
        <v>35</v>
      </c>
      <c r="O5" t="s">
        <v>23</v>
      </c>
      <c r="P5" s="2">
        <f t="shared" si="5"/>
        <v>0.96294134811788745</v>
      </c>
      <c r="Q5" s="4">
        <f t="shared" si="6"/>
        <v>-46.774193548387096</v>
      </c>
      <c r="R5" s="2">
        <f t="shared" si="7"/>
        <v>33.557046979865774</v>
      </c>
      <c r="S5" s="5">
        <f t="shared" si="8"/>
        <v>5.2524073533702946E-6</v>
      </c>
      <c r="T5" s="2">
        <f t="shared" si="9"/>
        <v>6388888.888888889</v>
      </c>
    </row>
    <row r="6" spans="1:20" x14ac:dyDescent="0.3">
      <c r="A6">
        <v>5</v>
      </c>
      <c r="B6" t="s">
        <v>36</v>
      </c>
      <c r="C6">
        <v>91</v>
      </c>
      <c r="D6">
        <f t="shared" si="1"/>
        <v>6800</v>
      </c>
      <c r="E6" s="3" t="s">
        <v>37</v>
      </c>
      <c r="F6" s="3">
        <f t="shared" si="0"/>
        <v>334100000</v>
      </c>
      <c r="G6" s="3" t="s">
        <v>38</v>
      </c>
      <c r="H6" s="3">
        <f t="shared" si="2"/>
        <v>1900000</v>
      </c>
      <c r="I6" s="2" t="s">
        <v>39</v>
      </c>
      <c r="J6" s="1">
        <v>2E-3</v>
      </c>
      <c r="K6" s="2">
        <f t="shared" si="3"/>
        <v>665300</v>
      </c>
      <c r="L6" s="2" t="s">
        <v>40</v>
      </c>
      <c r="M6" s="2">
        <f t="shared" si="4"/>
        <v>12500000000</v>
      </c>
      <c r="N6" s="2" t="s">
        <v>41</v>
      </c>
      <c r="O6" t="s">
        <v>23</v>
      </c>
      <c r="P6" s="2">
        <f t="shared" si="5"/>
        <v>0.19913199640826099</v>
      </c>
      <c r="Q6" s="4">
        <f t="shared" si="6"/>
        <v>-64.984210526315792</v>
      </c>
      <c r="R6" s="2">
        <f t="shared" si="7"/>
        <v>37.413947919784498</v>
      </c>
      <c r="S6" s="5">
        <f t="shared" si="8"/>
        <v>2.0353187668362766E-5</v>
      </c>
      <c r="T6" s="2">
        <f t="shared" si="9"/>
        <v>1838235.294117647</v>
      </c>
    </row>
    <row r="7" spans="1:20" x14ac:dyDescent="0.3">
      <c r="A7">
        <v>6</v>
      </c>
      <c r="B7" t="s">
        <v>42</v>
      </c>
      <c r="C7">
        <v>91</v>
      </c>
      <c r="D7">
        <f t="shared" si="1"/>
        <v>5600</v>
      </c>
      <c r="E7" s="3" t="s">
        <v>43</v>
      </c>
      <c r="F7" s="3">
        <f t="shared" si="0"/>
        <v>329200000</v>
      </c>
      <c r="G7" s="3" t="s">
        <v>44</v>
      </c>
      <c r="H7" s="3">
        <f t="shared" si="2"/>
        <v>3500000</v>
      </c>
      <c r="I7" s="2" t="s">
        <v>45</v>
      </c>
      <c r="J7" s="1">
        <v>8.8000000000000005E-3</v>
      </c>
      <c r="K7" s="2">
        <f t="shared" si="3"/>
        <v>2900000</v>
      </c>
      <c r="L7" s="2" t="s">
        <v>46</v>
      </c>
      <c r="M7" s="2">
        <f t="shared" si="4"/>
        <v>19900000000</v>
      </c>
      <c r="N7" s="2" t="s">
        <v>47</v>
      </c>
      <c r="O7" t="s">
        <v>23</v>
      </c>
      <c r="P7" s="2">
        <f t="shared" si="5"/>
        <v>0.88092345078979351</v>
      </c>
      <c r="Q7" s="4">
        <f t="shared" si="6"/>
        <v>-17.142857142857142</v>
      </c>
      <c r="R7" s="2">
        <f t="shared" si="7"/>
        <v>60.449574726609967</v>
      </c>
      <c r="S7" s="5">
        <f t="shared" si="8"/>
        <v>1.7010935601458081E-5</v>
      </c>
      <c r="T7" s="2">
        <f t="shared" si="9"/>
        <v>3553571.4285714286</v>
      </c>
    </row>
    <row r="8" spans="1:20" x14ac:dyDescent="0.3">
      <c r="A8">
        <v>7</v>
      </c>
      <c r="B8" t="s">
        <v>48</v>
      </c>
      <c r="C8">
        <v>92</v>
      </c>
      <c r="D8">
        <f t="shared" si="1"/>
        <v>5000</v>
      </c>
      <c r="E8" s="3" t="s">
        <v>49</v>
      </c>
      <c r="F8" s="3">
        <f t="shared" si="0"/>
        <v>327700000</v>
      </c>
      <c r="G8" s="3" t="s">
        <v>50</v>
      </c>
      <c r="H8" s="3">
        <f t="shared" si="2"/>
        <v>3700000</v>
      </c>
      <c r="I8" s="2" t="s">
        <v>51</v>
      </c>
      <c r="J8" s="1">
        <v>1.2E-2</v>
      </c>
      <c r="K8" s="2">
        <f t="shared" si="3"/>
        <v>3900000</v>
      </c>
      <c r="L8" s="2" t="s">
        <v>52</v>
      </c>
      <c r="M8" s="2">
        <f t="shared" si="4"/>
        <v>18400000000</v>
      </c>
      <c r="N8" s="2" t="s">
        <v>53</v>
      </c>
      <c r="O8" t="s">
        <v>23</v>
      </c>
      <c r="P8" s="2">
        <f t="shared" si="5"/>
        <v>1.190112908147696</v>
      </c>
      <c r="Q8" s="4">
        <f t="shared" si="6"/>
        <v>5.4054054054054053</v>
      </c>
      <c r="R8" s="2">
        <f t="shared" si="7"/>
        <v>56.148916692096428</v>
      </c>
      <c r="S8" s="5">
        <f t="shared" si="8"/>
        <v>1.5257857796765334E-5</v>
      </c>
      <c r="T8" s="2">
        <f t="shared" si="9"/>
        <v>3680000</v>
      </c>
    </row>
    <row r="9" spans="1:20" x14ac:dyDescent="0.3">
      <c r="A9">
        <v>8</v>
      </c>
      <c r="B9" t="s">
        <v>54</v>
      </c>
      <c r="C9">
        <v>92</v>
      </c>
      <c r="D9">
        <f t="shared" si="1"/>
        <v>2000</v>
      </c>
      <c r="E9" s="3" t="s">
        <v>55</v>
      </c>
      <c r="F9" s="3">
        <f t="shared" si="0"/>
        <v>272800000</v>
      </c>
      <c r="G9" s="3" t="s">
        <v>56</v>
      </c>
      <c r="H9" s="3">
        <f t="shared" si="2"/>
        <v>3600000</v>
      </c>
      <c r="I9" s="2" t="s">
        <v>57</v>
      </c>
      <c r="J9" s="1">
        <v>7.6E-3</v>
      </c>
      <c r="K9" s="2">
        <f t="shared" si="3"/>
        <v>2000000</v>
      </c>
      <c r="L9" s="2" t="s">
        <v>58</v>
      </c>
      <c r="M9" s="2">
        <f t="shared" si="4"/>
        <v>7400000000</v>
      </c>
      <c r="N9" s="2" t="s">
        <v>59</v>
      </c>
      <c r="O9" t="s">
        <v>23</v>
      </c>
      <c r="P9" s="2">
        <f t="shared" si="5"/>
        <v>0.73313782991202348</v>
      </c>
      <c r="Q9" s="4">
        <f t="shared" si="6"/>
        <v>-44.444444444444443</v>
      </c>
      <c r="R9" s="2">
        <f t="shared" si="7"/>
        <v>27.126099706744867</v>
      </c>
      <c r="S9" s="5">
        <f t="shared" si="8"/>
        <v>7.3313782991202346E-6</v>
      </c>
      <c r="T9" s="2">
        <f t="shared" si="9"/>
        <v>3700000</v>
      </c>
    </row>
    <row r="10" spans="1:20" x14ac:dyDescent="0.3">
      <c r="A10">
        <v>9</v>
      </c>
      <c r="B10" t="s">
        <v>60</v>
      </c>
      <c r="C10">
        <v>89</v>
      </c>
      <c r="D10">
        <f t="shared" si="1"/>
        <v>4100</v>
      </c>
      <c r="E10" s="3" t="s">
        <v>61</v>
      </c>
      <c r="F10" s="3">
        <f t="shared" si="0"/>
        <v>268300000</v>
      </c>
      <c r="G10" s="3" t="s">
        <v>62</v>
      </c>
      <c r="H10" s="3">
        <f t="shared" si="2"/>
        <v>2400000</v>
      </c>
      <c r="I10" s="2" t="s">
        <v>63</v>
      </c>
      <c r="J10" s="1">
        <v>3.5000000000000001E-3</v>
      </c>
      <c r="K10" s="2">
        <f t="shared" si="3"/>
        <v>926900</v>
      </c>
      <c r="L10" s="2" t="s">
        <v>64</v>
      </c>
      <c r="M10" s="2">
        <f t="shared" si="4"/>
        <v>9800000000</v>
      </c>
      <c r="N10" s="2" t="s">
        <v>65</v>
      </c>
      <c r="O10" t="s">
        <v>23</v>
      </c>
      <c r="P10" s="2">
        <f t="shared" si="5"/>
        <v>0.34547148714125975</v>
      </c>
      <c r="Q10" s="4">
        <f t="shared" si="6"/>
        <v>-61.379166666666663</v>
      </c>
      <c r="R10" s="2">
        <f t="shared" si="7"/>
        <v>36.526276556093926</v>
      </c>
      <c r="S10" s="5">
        <f t="shared" si="8"/>
        <v>1.528140141632501E-5</v>
      </c>
      <c r="T10" s="2">
        <f t="shared" si="9"/>
        <v>2390243.9024390243</v>
      </c>
    </row>
    <row r="11" spans="1:20" x14ac:dyDescent="0.3">
      <c r="A11">
        <v>10</v>
      </c>
      <c r="B11" t="s">
        <v>66</v>
      </c>
      <c r="C11">
        <v>91</v>
      </c>
      <c r="D11">
        <f t="shared" si="1"/>
        <v>7400</v>
      </c>
      <c r="E11" s="3" t="s">
        <v>67</v>
      </c>
      <c r="F11" s="3">
        <f t="shared" si="0"/>
        <v>254500000</v>
      </c>
      <c r="G11" s="3" t="s">
        <v>68</v>
      </c>
      <c r="H11" s="3">
        <f t="shared" si="2"/>
        <v>1900000</v>
      </c>
      <c r="I11" s="2" t="s">
        <v>39</v>
      </c>
      <c r="J11" s="1">
        <v>5.8999999999999999E-3</v>
      </c>
      <c r="K11" s="2">
        <f t="shared" si="3"/>
        <v>1500000</v>
      </c>
      <c r="L11" s="2" t="s">
        <v>69</v>
      </c>
      <c r="M11" s="2">
        <f t="shared" si="4"/>
        <v>13900000000</v>
      </c>
      <c r="N11" s="2" t="s">
        <v>70</v>
      </c>
      <c r="O11" t="s">
        <v>71</v>
      </c>
      <c r="P11" s="2">
        <f t="shared" si="5"/>
        <v>0.58939096267190572</v>
      </c>
      <c r="Q11" s="4">
        <f t="shared" si="6"/>
        <v>-21.052631578947366</v>
      </c>
      <c r="R11" s="2">
        <f t="shared" si="7"/>
        <v>54.616895874263264</v>
      </c>
      <c r="S11" s="5">
        <f t="shared" si="8"/>
        <v>2.9076620825147347E-5</v>
      </c>
      <c r="T11" s="2">
        <f t="shared" si="9"/>
        <v>1878378.3783783785</v>
      </c>
    </row>
    <row r="12" spans="1:20" x14ac:dyDescent="0.3">
      <c r="A12">
        <v>11</v>
      </c>
      <c r="B12" t="s">
        <v>72</v>
      </c>
      <c r="C12">
        <v>90</v>
      </c>
      <c r="D12">
        <f t="shared" si="1"/>
        <v>660</v>
      </c>
      <c r="E12" s="3" t="s">
        <v>73</v>
      </c>
      <c r="F12" s="3">
        <f t="shared" si="0"/>
        <v>254000000</v>
      </c>
      <c r="G12" s="3" t="s">
        <v>74</v>
      </c>
      <c r="H12" s="3">
        <f t="shared" si="2"/>
        <v>5500000</v>
      </c>
      <c r="I12" s="2" t="s">
        <v>75</v>
      </c>
      <c r="J12" s="1">
        <v>2.0400000000000001E-2</v>
      </c>
      <c r="K12" s="2">
        <f t="shared" si="3"/>
        <v>5100000</v>
      </c>
      <c r="L12" s="2" t="s">
        <v>76</v>
      </c>
      <c r="M12" s="2">
        <f t="shared" si="4"/>
        <v>3700000000</v>
      </c>
      <c r="N12" s="2" t="s">
        <v>77</v>
      </c>
      <c r="O12" t="s">
        <v>23</v>
      </c>
      <c r="P12" s="2">
        <f t="shared" si="5"/>
        <v>2.0078740157480315</v>
      </c>
      <c r="Q12" s="4">
        <f t="shared" si="6"/>
        <v>-7.2727272727272725</v>
      </c>
      <c r="R12" s="2">
        <f t="shared" si="7"/>
        <v>14.566929133858268</v>
      </c>
      <c r="S12" s="5">
        <f t="shared" si="8"/>
        <v>2.5984251968503939E-6</v>
      </c>
      <c r="T12" s="2">
        <f t="shared" si="9"/>
        <v>5606060.6060606064</v>
      </c>
    </row>
    <row r="13" spans="1:20" x14ac:dyDescent="0.3">
      <c r="A13">
        <v>12</v>
      </c>
      <c r="B13" t="s">
        <v>78</v>
      </c>
      <c r="C13">
        <v>91</v>
      </c>
      <c r="D13">
        <f t="shared" si="1"/>
        <v>10000</v>
      </c>
      <c r="E13" s="3" t="s">
        <v>79</v>
      </c>
      <c r="F13" s="3">
        <f t="shared" si="0"/>
        <v>237000000</v>
      </c>
      <c r="G13" s="3" t="s">
        <v>80</v>
      </c>
      <c r="H13" s="3">
        <f>IF(RIGHT(I13,1)="k", VALUE(LEFT(I13,LEN(I13)-1))*1000,
 IF(RIGHT(I13,1)="m", VALUE(LEFT(I13,LEN(I13)-1))*1000000,
 IF(RIGHT(I13,1)="b", VALUE(LEFT(I13,LEN(I13)-1))*1000000000,
 VALUE(I13))))</f>
        <v>302200</v>
      </c>
      <c r="I13" s="2" t="s">
        <v>81</v>
      </c>
      <c r="J13" s="1">
        <v>6.9999999999999999E-4</v>
      </c>
      <c r="K13" s="2">
        <f t="shared" si="3"/>
        <v>159300</v>
      </c>
      <c r="L13" s="2" t="s">
        <v>82</v>
      </c>
      <c r="M13" s="2">
        <f t="shared" si="4"/>
        <v>3000000000</v>
      </c>
      <c r="N13" s="2" t="s">
        <v>83</v>
      </c>
      <c r="O13" t="s">
        <v>23</v>
      </c>
      <c r="P13" s="2">
        <f t="shared" si="5"/>
        <v>6.7215189873417722E-2</v>
      </c>
      <c r="Q13" s="4">
        <f t="shared" si="6"/>
        <v>-47.286565188616805</v>
      </c>
      <c r="R13" s="2">
        <f t="shared" si="7"/>
        <v>12.658227848101266</v>
      </c>
      <c r="S13" s="5">
        <f t="shared" si="8"/>
        <v>4.2194092827004217E-5</v>
      </c>
      <c r="T13" s="2">
        <f t="shared" si="9"/>
        <v>300000</v>
      </c>
    </row>
    <row r="14" spans="1:20" x14ac:dyDescent="0.3">
      <c r="A14">
        <v>13</v>
      </c>
      <c r="B14" t="s">
        <v>84</v>
      </c>
      <c r="C14">
        <v>90</v>
      </c>
      <c r="D14">
        <f t="shared" si="1"/>
        <v>950</v>
      </c>
      <c r="E14" s="3" t="s">
        <v>85</v>
      </c>
      <c r="F14" s="3">
        <f t="shared" si="0"/>
        <v>234100000</v>
      </c>
      <c r="G14" s="3" t="s">
        <v>86</v>
      </c>
      <c r="H14" s="3">
        <f>IF(RIGHT(I14,1)="k", VALUE(LEFT(I14,LEN(I14)-1))*1000,
 IF(RIGHT(I14,1)="m", VALUE(LEFT(I14,LEN(I14)-1))*1000000,
 IF(RIGHT(I14,1)="b", VALUE(LEFT(I14,LEN(I14)-1))*1000000000,
 VALUE(I14))))</f>
        <v>329000</v>
      </c>
      <c r="I14" s="2" t="s">
        <v>87</v>
      </c>
      <c r="J14" s="1">
        <v>8.0000000000000004E-4</v>
      </c>
      <c r="K14" s="2">
        <f t="shared" si="3"/>
        <v>181800</v>
      </c>
      <c r="L14" s="2" t="s">
        <v>88</v>
      </c>
      <c r="M14" s="2">
        <f t="shared" si="4"/>
        <v>313600000</v>
      </c>
      <c r="N14" s="2" t="s">
        <v>89</v>
      </c>
      <c r="O14" t="s">
        <v>23</v>
      </c>
      <c r="P14" s="2">
        <f t="shared" si="5"/>
        <v>7.7659120034173426E-2</v>
      </c>
      <c r="Q14" s="4">
        <f t="shared" si="6"/>
        <v>-44.741641337386021</v>
      </c>
      <c r="R14" s="2">
        <f t="shared" si="7"/>
        <v>1.3395984621956429</v>
      </c>
      <c r="S14" s="5">
        <f t="shared" si="8"/>
        <v>4.0580948312686887E-6</v>
      </c>
      <c r="T14" s="2">
        <f t="shared" si="9"/>
        <v>330105.26315789472</v>
      </c>
    </row>
    <row r="15" spans="1:20" x14ac:dyDescent="0.3">
      <c r="A15">
        <v>14</v>
      </c>
      <c r="B15" t="s">
        <v>90</v>
      </c>
      <c r="C15">
        <v>91</v>
      </c>
      <c r="D15">
        <f t="shared" si="1"/>
        <v>530</v>
      </c>
      <c r="E15" s="3" t="s">
        <v>91</v>
      </c>
      <c r="F15" s="3">
        <f t="shared" si="0"/>
        <v>222200000</v>
      </c>
      <c r="G15" s="3" t="s">
        <v>92</v>
      </c>
      <c r="H15" s="3">
        <f t="shared" si="2"/>
        <v>2400000</v>
      </c>
      <c r="I15" s="2" t="s">
        <v>63</v>
      </c>
      <c r="J15" s="1">
        <v>1.01E-2</v>
      </c>
      <c r="K15" s="2">
        <f t="shared" si="3"/>
        <v>2300000</v>
      </c>
      <c r="L15" s="2" t="s">
        <v>93</v>
      </c>
      <c r="M15" s="2">
        <f t="shared" si="4"/>
        <v>1300000000</v>
      </c>
      <c r="N15" s="2" t="s">
        <v>94</v>
      </c>
      <c r="O15" t="s">
        <v>23</v>
      </c>
      <c r="P15" s="2">
        <f t="shared" si="5"/>
        <v>1.0351035103510351</v>
      </c>
      <c r="Q15" s="4">
        <f t="shared" si="6"/>
        <v>-4.1666666666666661</v>
      </c>
      <c r="R15" s="2">
        <f t="shared" si="7"/>
        <v>5.8505850585058505</v>
      </c>
      <c r="S15" s="5">
        <f t="shared" si="8"/>
        <v>2.3852385238523851E-6</v>
      </c>
      <c r="T15" s="2">
        <f t="shared" si="9"/>
        <v>2452830.1886792453</v>
      </c>
    </row>
    <row r="16" spans="1:20" x14ac:dyDescent="0.3">
      <c r="A16">
        <v>15</v>
      </c>
      <c r="B16" t="s">
        <v>95</v>
      </c>
      <c r="C16">
        <v>89</v>
      </c>
      <c r="D16">
        <f t="shared" si="1"/>
        <v>3200</v>
      </c>
      <c r="E16" s="3" t="s">
        <v>96</v>
      </c>
      <c r="F16" s="3">
        <f t="shared" si="0"/>
        <v>220400000</v>
      </c>
      <c r="G16" s="3" t="s">
        <v>97</v>
      </c>
      <c r="H16" s="3">
        <f t="shared" si="2"/>
        <v>1700000</v>
      </c>
      <c r="I16" s="2" t="s">
        <v>98</v>
      </c>
      <c r="J16" s="1">
        <v>6.1999999999999998E-3</v>
      </c>
      <c r="K16" s="2">
        <f t="shared" si="3"/>
        <v>1400000</v>
      </c>
      <c r="L16" s="2" t="s">
        <v>99</v>
      </c>
      <c r="M16" s="2">
        <f t="shared" si="4"/>
        <v>5300000000</v>
      </c>
      <c r="N16" s="2" t="s">
        <v>100</v>
      </c>
      <c r="O16" t="s">
        <v>23</v>
      </c>
      <c r="P16" s="2">
        <f t="shared" si="5"/>
        <v>0.63520871143375679</v>
      </c>
      <c r="Q16" s="4">
        <f t="shared" si="6"/>
        <v>-17.647058823529413</v>
      </c>
      <c r="R16" s="2">
        <f t="shared" si="7"/>
        <v>24.047186932849364</v>
      </c>
      <c r="S16" s="5">
        <f t="shared" si="8"/>
        <v>1.4519056261343013E-5</v>
      </c>
      <c r="T16" s="2">
        <f t="shared" si="9"/>
        <v>1656250</v>
      </c>
    </row>
    <row r="17" spans="1:20" x14ac:dyDescent="0.3">
      <c r="A17">
        <v>16</v>
      </c>
      <c r="B17" t="s">
        <v>101</v>
      </c>
      <c r="C17">
        <v>87</v>
      </c>
      <c r="D17">
        <f t="shared" si="1"/>
        <v>1400</v>
      </c>
      <c r="E17" s="3" t="s">
        <v>102</v>
      </c>
      <c r="F17" s="3">
        <f t="shared" si="0"/>
        <v>211800000</v>
      </c>
      <c r="G17" s="3" t="s">
        <v>103</v>
      </c>
      <c r="H17" s="3">
        <f t="shared" si="2"/>
        <v>3500000</v>
      </c>
      <c r="I17" s="2" t="s">
        <v>45</v>
      </c>
      <c r="J17" s="1">
        <v>9.5999999999999992E-3</v>
      </c>
      <c r="K17" s="2">
        <f t="shared" si="3"/>
        <v>2000000</v>
      </c>
      <c r="L17" s="2" t="s">
        <v>58</v>
      </c>
      <c r="M17" s="2">
        <f t="shared" si="4"/>
        <v>4900000000</v>
      </c>
      <c r="N17" s="2" t="s">
        <v>104</v>
      </c>
      <c r="O17" t="s">
        <v>891</v>
      </c>
      <c r="P17" s="2">
        <f t="shared" si="5"/>
        <v>0.94428706326723322</v>
      </c>
      <c r="Q17" s="4">
        <f t="shared" si="6"/>
        <v>-42.857142857142854</v>
      </c>
      <c r="R17" s="2">
        <f t="shared" si="7"/>
        <v>23.135033050047216</v>
      </c>
      <c r="S17" s="5">
        <f t="shared" si="8"/>
        <v>6.6100094428706325E-6</v>
      </c>
      <c r="T17" s="2">
        <f t="shared" si="9"/>
        <v>3500000</v>
      </c>
    </row>
    <row r="18" spans="1:20" x14ac:dyDescent="0.3">
      <c r="A18">
        <v>17</v>
      </c>
      <c r="B18" t="s">
        <v>105</v>
      </c>
      <c r="C18">
        <v>90</v>
      </c>
      <c r="D18">
        <f t="shared" si="1"/>
        <v>6400</v>
      </c>
      <c r="E18" s="3" t="s">
        <v>106</v>
      </c>
      <c r="F18" s="3">
        <f t="shared" si="0"/>
        <v>201600000</v>
      </c>
      <c r="G18" s="3" t="s">
        <v>107</v>
      </c>
      <c r="H18" s="3">
        <f t="shared" si="2"/>
        <v>2100000</v>
      </c>
      <c r="I18" s="2" t="s">
        <v>108</v>
      </c>
      <c r="J18" s="1">
        <v>5.3E-3</v>
      </c>
      <c r="K18" s="2">
        <f t="shared" si="3"/>
        <v>1000000</v>
      </c>
      <c r="L18" s="2" t="s">
        <v>109</v>
      </c>
      <c r="M18" s="2">
        <f t="shared" si="4"/>
        <v>13500000000</v>
      </c>
      <c r="N18" s="2" t="s">
        <v>110</v>
      </c>
      <c r="O18" t="s">
        <v>23</v>
      </c>
      <c r="P18" s="2">
        <f t="shared" si="5"/>
        <v>0.49603174603174599</v>
      </c>
      <c r="Q18" s="4">
        <f t="shared" si="6"/>
        <v>-52.380952380952387</v>
      </c>
      <c r="R18" s="2">
        <f t="shared" si="7"/>
        <v>66.964285714285708</v>
      </c>
      <c r="S18" s="5">
        <f t="shared" si="8"/>
        <v>3.1746031746031745E-5</v>
      </c>
      <c r="T18" s="2">
        <f t="shared" si="9"/>
        <v>2109375</v>
      </c>
    </row>
    <row r="19" spans="1:20" x14ac:dyDescent="0.3">
      <c r="A19">
        <v>18</v>
      </c>
      <c r="B19" t="s">
        <v>111</v>
      </c>
      <c r="C19">
        <v>89</v>
      </c>
      <c r="D19">
        <f t="shared" si="1"/>
        <v>4400</v>
      </c>
      <c r="E19" s="3" t="s">
        <v>112</v>
      </c>
      <c r="F19" s="3">
        <f t="shared" si="0"/>
        <v>195200000</v>
      </c>
      <c r="G19" s="3" t="s">
        <v>113</v>
      </c>
      <c r="H19" s="3">
        <f t="shared" si="2"/>
        <v>1800000</v>
      </c>
      <c r="I19" s="2" t="s">
        <v>114</v>
      </c>
      <c r="J19" s="1">
        <v>6.7000000000000002E-3</v>
      </c>
      <c r="K19" s="2">
        <f t="shared" si="3"/>
        <v>1300000</v>
      </c>
      <c r="L19" s="2" t="s">
        <v>115</v>
      </c>
      <c r="M19" s="2">
        <f t="shared" si="4"/>
        <v>7700000000</v>
      </c>
      <c r="N19" s="2" t="s">
        <v>116</v>
      </c>
      <c r="O19" t="s">
        <v>23</v>
      </c>
      <c r="P19" s="2">
        <f t="shared" si="5"/>
        <v>0.66598360655737698</v>
      </c>
      <c r="Q19" s="4">
        <f t="shared" si="6"/>
        <v>-27.777777777777779</v>
      </c>
      <c r="R19" s="2">
        <f t="shared" si="7"/>
        <v>39.446721311475407</v>
      </c>
      <c r="S19" s="5">
        <f t="shared" si="8"/>
        <v>2.2540983606557376E-5</v>
      </c>
      <c r="T19" s="2">
        <f t="shared" si="9"/>
        <v>1750000</v>
      </c>
    </row>
    <row r="20" spans="1:20" x14ac:dyDescent="0.3">
      <c r="A20">
        <v>19</v>
      </c>
      <c r="B20" t="s">
        <v>117</v>
      </c>
      <c r="C20">
        <v>89</v>
      </c>
      <c r="D20">
        <f t="shared" si="1"/>
        <v>1200</v>
      </c>
      <c r="E20" s="3" t="s">
        <v>118</v>
      </c>
      <c r="F20" s="3">
        <f t="shared" si="0"/>
        <v>181500000</v>
      </c>
      <c r="G20" s="3" t="s">
        <v>119</v>
      </c>
      <c r="H20" s="3">
        <f t="shared" si="2"/>
        <v>1300000</v>
      </c>
      <c r="I20" s="2" t="s">
        <v>115</v>
      </c>
      <c r="J20" s="1">
        <v>5.1000000000000004E-3</v>
      </c>
      <c r="K20" s="2">
        <f t="shared" si="3"/>
        <v>913600</v>
      </c>
      <c r="L20" s="2" t="s">
        <v>120</v>
      </c>
      <c r="M20" s="2">
        <f t="shared" si="4"/>
        <v>1600000000</v>
      </c>
      <c r="N20" s="2" t="s">
        <v>121</v>
      </c>
      <c r="O20" t="s">
        <v>891</v>
      </c>
      <c r="P20" s="2">
        <f t="shared" si="5"/>
        <v>0.50336088154269965</v>
      </c>
      <c r="Q20" s="4">
        <f t="shared" si="6"/>
        <v>-29.723076923076924</v>
      </c>
      <c r="R20" s="2">
        <f t="shared" si="7"/>
        <v>8.8154269972451793</v>
      </c>
      <c r="S20" s="5">
        <f t="shared" si="8"/>
        <v>6.611570247933884E-6</v>
      </c>
      <c r="T20" s="2">
        <f t="shared" si="9"/>
        <v>1333333.3333333333</v>
      </c>
    </row>
    <row r="21" spans="1:20" x14ac:dyDescent="0.3">
      <c r="A21">
        <v>20</v>
      </c>
      <c r="B21" t="s">
        <v>122</v>
      </c>
      <c r="C21">
        <v>90</v>
      </c>
      <c r="D21">
        <f t="shared" si="1"/>
        <v>5300</v>
      </c>
      <c r="E21" s="3" t="s">
        <v>123</v>
      </c>
      <c r="F21" s="3">
        <f t="shared" si="0"/>
        <v>177100000</v>
      </c>
      <c r="G21" s="3" t="s">
        <v>124</v>
      </c>
      <c r="H21" s="3">
        <f t="shared" si="2"/>
        <v>2700000</v>
      </c>
      <c r="I21" s="2" t="s">
        <v>125</v>
      </c>
      <c r="J21" s="1">
        <v>1.09E-2</v>
      </c>
      <c r="K21" s="2">
        <f t="shared" si="3"/>
        <v>1900000</v>
      </c>
      <c r="L21" s="2" t="s">
        <v>39</v>
      </c>
      <c r="M21" s="2">
        <f t="shared" si="4"/>
        <v>14100000000</v>
      </c>
      <c r="N21" s="2" t="s">
        <v>126</v>
      </c>
      <c r="O21" t="s">
        <v>127</v>
      </c>
      <c r="P21" s="2">
        <f t="shared" si="5"/>
        <v>1.0728402032749857</v>
      </c>
      <c r="Q21" s="4">
        <f t="shared" si="6"/>
        <v>-29.629629629629626</v>
      </c>
      <c r="R21" s="2">
        <f t="shared" si="7"/>
        <v>79.616036137775268</v>
      </c>
      <c r="S21" s="5">
        <f t="shared" si="8"/>
        <v>2.9926595143986448E-5</v>
      </c>
      <c r="T21" s="2">
        <f t="shared" si="9"/>
        <v>2660377.3584905663</v>
      </c>
    </row>
    <row r="22" spans="1:20" x14ac:dyDescent="0.3">
      <c r="A22">
        <v>21</v>
      </c>
      <c r="B22" t="s">
        <v>128</v>
      </c>
      <c r="C22">
        <v>92</v>
      </c>
      <c r="D22">
        <f t="shared" si="1"/>
        <v>2000</v>
      </c>
      <c r="E22" s="3" t="s">
        <v>55</v>
      </c>
      <c r="F22" s="3">
        <f t="shared" si="0"/>
        <v>170300000</v>
      </c>
      <c r="G22" s="3" t="s">
        <v>129</v>
      </c>
      <c r="H22" s="3">
        <f>IF(RIGHT(I22,1)="k", VALUE(LEFT(I22,LEN(I22)-1))*1000,
 IF(RIGHT(I22,1)="m", VALUE(LEFT(I22,LEN(I22)-1))*1000000,
 IF(RIGHT(I22,1)="b", VALUE(LEFT(I22,LEN(I22)-1))*1000000000,
 VALUE(I22))))</f>
        <v>715000</v>
      </c>
      <c r="I22" s="2" t="s">
        <v>130</v>
      </c>
      <c r="J22" s="1">
        <v>1.6000000000000001E-3</v>
      </c>
      <c r="K22" s="2">
        <f t="shared" si="3"/>
        <v>265100</v>
      </c>
      <c r="L22" s="2" t="s">
        <v>131</v>
      </c>
      <c r="M22" s="2">
        <f t="shared" si="4"/>
        <v>1500000000</v>
      </c>
      <c r="N22" s="2" t="s">
        <v>132</v>
      </c>
      <c r="O22" t="s">
        <v>891</v>
      </c>
      <c r="P22" s="2">
        <f t="shared" si="5"/>
        <v>0.15566647093364652</v>
      </c>
      <c r="Q22" s="4">
        <f t="shared" si="6"/>
        <v>-62.923076923076927</v>
      </c>
      <c r="R22" s="2">
        <f t="shared" si="7"/>
        <v>8.8079859072225481</v>
      </c>
      <c r="S22" s="5">
        <f t="shared" si="8"/>
        <v>1.1743981209630064E-5</v>
      </c>
      <c r="T22" s="2">
        <f t="shared" si="9"/>
        <v>750000</v>
      </c>
    </row>
    <row r="23" spans="1:20" x14ac:dyDescent="0.3">
      <c r="A23">
        <v>22</v>
      </c>
      <c r="B23" t="s">
        <v>133</v>
      </c>
      <c r="C23">
        <v>88</v>
      </c>
      <c r="D23">
        <f t="shared" si="1"/>
        <v>8200</v>
      </c>
      <c r="E23" s="3" t="s">
        <v>134</v>
      </c>
      <c r="F23" s="3">
        <f t="shared" si="0"/>
        <v>152000000</v>
      </c>
      <c r="G23" s="3" t="s">
        <v>135</v>
      </c>
      <c r="H23" s="3">
        <f>IF(RIGHT(I23,1)="k", VALUE(LEFT(I23,LEN(I23)-1))*1000,
 IF(RIGHT(I23,1)="m", VALUE(LEFT(I23,LEN(I23)-1))*1000000,
 IF(RIGHT(I23,1)="b", VALUE(LEFT(I23,LEN(I23)-1))*1000000000,
 VALUE(I23))))</f>
        <v>522000</v>
      </c>
      <c r="I23" s="2" t="s">
        <v>136</v>
      </c>
      <c r="J23" s="1">
        <v>8.0000000000000004E-4</v>
      </c>
      <c r="K23" s="2">
        <f t="shared" si="3"/>
        <v>115200</v>
      </c>
      <c r="L23" s="2" t="s">
        <v>137</v>
      </c>
      <c r="M23" s="2">
        <f t="shared" si="4"/>
        <v>4300000000</v>
      </c>
      <c r="N23" s="2" t="s">
        <v>138</v>
      </c>
      <c r="O23" t="s">
        <v>23</v>
      </c>
      <c r="P23" s="2">
        <f t="shared" si="5"/>
        <v>7.5789473684210532E-2</v>
      </c>
      <c r="Q23" s="4">
        <f t="shared" si="6"/>
        <v>-77.931034482758619</v>
      </c>
      <c r="R23" s="2">
        <f t="shared" si="7"/>
        <v>28.289473684210527</v>
      </c>
      <c r="S23" s="5">
        <f t="shared" si="8"/>
        <v>5.3947368421052635E-5</v>
      </c>
      <c r="T23" s="2">
        <f t="shared" si="9"/>
        <v>524390.24390243902</v>
      </c>
    </row>
    <row r="24" spans="1:20" x14ac:dyDescent="0.3">
      <c r="A24">
        <v>23</v>
      </c>
      <c r="B24" t="s">
        <v>139</v>
      </c>
      <c r="C24">
        <v>87</v>
      </c>
      <c r="D24">
        <f t="shared" si="1"/>
        <v>3500</v>
      </c>
      <c r="E24" s="3" t="s">
        <v>140</v>
      </c>
      <c r="F24" s="3">
        <f t="shared" si="0"/>
        <v>150700000</v>
      </c>
      <c r="G24" s="3" t="s">
        <v>141</v>
      </c>
      <c r="H24" s="3">
        <f t="shared" si="2"/>
        <v>5800000</v>
      </c>
      <c r="I24" s="2" t="s">
        <v>142</v>
      </c>
      <c r="J24" s="1">
        <v>3.1699999999999999E-2</v>
      </c>
      <c r="K24" s="2">
        <f t="shared" si="3"/>
        <v>4800000</v>
      </c>
      <c r="L24" s="2" t="s">
        <v>143</v>
      </c>
      <c r="M24" s="2">
        <f t="shared" si="4"/>
        <v>20600000000</v>
      </c>
      <c r="N24" s="2" t="s">
        <v>144</v>
      </c>
      <c r="O24" t="s">
        <v>23</v>
      </c>
      <c r="P24" s="2">
        <f t="shared" si="5"/>
        <v>3.1851360318513606</v>
      </c>
      <c r="Q24" s="4">
        <f t="shared" si="6"/>
        <v>-17.241379310344829</v>
      </c>
      <c r="R24" s="2">
        <f t="shared" si="7"/>
        <v>136.69542136695421</v>
      </c>
      <c r="S24" s="5">
        <f t="shared" si="8"/>
        <v>2.3224950232249504E-5</v>
      </c>
      <c r="T24" s="2">
        <f t="shared" si="9"/>
        <v>5885714.2857142854</v>
      </c>
    </row>
    <row r="25" spans="1:20" x14ac:dyDescent="0.3">
      <c r="A25">
        <v>24</v>
      </c>
      <c r="B25" t="s">
        <v>145</v>
      </c>
      <c r="C25">
        <v>75</v>
      </c>
      <c r="D25">
        <f t="shared" si="1"/>
        <v>1600</v>
      </c>
      <c r="E25" s="3" t="s">
        <v>146</v>
      </c>
      <c r="F25" s="3">
        <f t="shared" si="0"/>
        <v>140500000</v>
      </c>
      <c r="G25" s="3" t="s">
        <v>147</v>
      </c>
      <c r="H25" s="3">
        <f t="shared" si="2"/>
        <v>3100000</v>
      </c>
      <c r="I25" s="2" t="s">
        <v>148</v>
      </c>
      <c r="J25" s="1">
        <v>1.0999999999999999E-2</v>
      </c>
      <c r="K25" s="2">
        <f t="shared" si="3"/>
        <v>1500000</v>
      </c>
      <c r="L25" s="2" t="s">
        <v>69</v>
      </c>
      <c r="M25" s="2">
        <f t="shared" si="4"/>
        <v>5000000000</v>
      </c>
      <c r="N25" s="2" t="s">
        <v>149</v>
      </c>
      <c r="O25" t="s">
        <v>23</v>
      </c>
      <c r="P25" s="2">
        <f t="shared" si="5"/>
        <v>1.0676156583629894</v>
      </c>
      <c r="Q25" s="4">
        <f t="shared" si="6"/>
        <v>-51.612903225806448</v>
      </c>
      <c r="R25" s="2">
        <f t="shared" si="7"/>
        <v>35.587188612099645</v>
      </c>
      <c r="S25" s="5">
        <f t="shared" si="8"/>
        <v>1.1387900355871885E-5</v>
      </c>
      <c r="T25" s="2">
        <f t="shared" si="9"/>
        <v>3125000</v>
      </c>
    </row>
    <row r="26" spans="1:20" x14ac:dyDescent="0.3">
      <c r="A26">
        <v>25</v>
      </c>
      <c r="B26" t="s">
        <v>150</v>
      </c>
      <c r="C26">
        <v>88</v>
      </c>
      <c r="D26">
        <f t="shared" si="1"/>
        <v>80</v>
      </c>
      <c r="E26" s="3" t="s">
        <v>151</v>
      </c>
      <c r="F26" s="3">
        <f t="shared" si="0"/>
        <v>139100000</v>
      </c>
      <c r="G26" s="3" t="s">
        <v>152</v>
      </c>
      <c r="H26" s="3">
        <f t="shared" si="2"/>
        <v>1100000</v>
      </c>
      <c r="I26" s="2" t="s">
        <v>153</v>
      </c>
      <c r="J26" s="1">
        <v>2.7000000000000001E-3</v>
      </c>
      <c r="K26" s="2">
        <f t="shared" si="3"/>
        <v>363400</v>
      </c>
      <c r="L26" s="2" t="s">
        <v>154</v>
      </c>
      <c r="M26" s="2">
        <f t="shared" si="4"/>
        <v>91300000</v>
      </c>
      <c r="N26" s="2" t="s">
        <v>155</v>
      </c>
      <c r="O26" t="s">
        <v>23</v>
      </c>
      <c r="P26" s="2">
        <f t="shared" si="5"/>
        <v>0.26125089863407619</v>
      </c>
      <c r="Q26" s="4">
        <f t="shared" si="6"/>
        <v>-66.963636363636354</v>
      </c>
      <c r="R26" s="2">
        <f t="shared" si="7"/>
        <v>0.65636232925952553</v>
      </c>
      <c r="S26" s="5">
        <f t="shared" si="8"/>
        <v>5.7512580877066862E-7</v>
      </c>
      <c r="T26" s="2">
        <f t="shared" si="9"/>
        <v>1141250</v>
      </c>
    </row>
    <row r="27" spans="1:20" x14ac:dyDescent="0.3">
      <c r="A27">
        <v>26</v>
      </c>
      <c r="B27" t="s">
        <v>156</v>
      </c>
      <c r="C27">
        <v>88</v>
      </c>
      <c r="D27">
        <f t="shared" si="1"/>
        <v>4800</v>
      </c>
      <c r="E27" s="3" t="s">
        <v>157</v>
      </c>
      <c r="F27" s="3">
        <f t="shared" si="0"/>
        <v>135300000</v>
      </c>
      <c r="G27" s="3" t="s">
        <v>158</v>
      </c>
      <c r="H27" s="3">
        <f t="shared" si="2"/>
        <v>3700000</v>
      </c>
      <c r="I27" s="2" t="s">
        <v>51</v>
      </c>
      <c r="J27" s="1">
        <v>2.0000000000000001E-4</v>
      </c>
      <c r="K27" s="2">
        <f t="shared" si="3"/>
        <v>0</v>
      </c>
      <c r="L27" s="2">
        <v>0</v>
      </c>
      <c r="M27" s="2">
        <f t="shared" si="4"/>
        <v>17900000000</v>
      </c>
      <c r="N27" s="2" t="s">
        <v>159</v>
      </c>
      <c r="O27" t="s">
        <v>23</v>
      </c>
      <c r="P27" s="2">
        <f t="shared" si="5"/>
        <v>0</v>
      </c>
      <c r="Q27" s="4">
        <f t="shared" si="6"/>
        <v>-100</v>
      </c>
      <c r="R27" s="2">
        <f t="shared" si="7"/>
        <v>132.29859571322987</v>
      </c>
      <c r="S27" s="5">
        <f t="shared" si="8"/>
        <v>3.5476718403547673E-5</v>
      </c>
      <c r="T27" s="2">
        <f t="shared" si="9"/>
        <v>3729166.6666666665</v>
      </c>
    </row>
    <row r="28" spans="1:20" x14ac:dyDescent="0.3">
      <c r="A28">
        <v>27</v>
      </c>
      <c r="B28" t="s">
        <v>160</v>
      </c>
      <c r="C28">
        <v>86</v>
      </c>
      <c r="D28">
        <f t="shared" si="1"/>
        <v>2300</v>
      </c>
      <c r="E28" s="3" t="s">
        <v>161</v>
      </c>
      <c r="F28" s="3">
        <f t="shared" si="0"/>
        <v>130900000</v>
      </c>
      <c r="G28" s="3" t="s">
        <v>162</v>
      </c>
      <c r="H28" s="3">
        <f t="shared" si="2"/>
        <v>2100000</v>
      </c>
      <c r="I28" s="2" t="s">
        <v>108</v>
      </c>
      <c r="J28" s="1">
        <v>9.1999999999999998E-3</v>
      </c>
      <c r="K28" s="2">
        <f t="shared" si="3"/>
        <v>1200000</v>
      </c>
      <c r="L28" s="2" t="s">
        <v>163</v>
      </c>
      <c r="M28" s="2">
        <f t="shared" si="4"/>
        <v>4900000000</v>
      </c>
      <c r="N28" s="2" t="s">
        <v>104</v>
      </c>
      <c r="O28" t="s">
        <v>891</v>
      </c>
      <c r="P28" s="2">
        <f t="shared" si="5"/>
        <v>0.91673032849503444</v>
      </c>
      <c r="Q28" s="4">
        <f t="shared" si="6"/>
        <v>-42.857142857142854</v>
      </c>
      <c r="R28" s="2">
        <f t="shared" si="7"/>
        <v>37.433155080213901</v>
      </c>
      <c r="S28" s="5">
        <f t="shared" si="8"/>
        <v>1.757066462948816E-5</v>
      </c>
      <c r="T28" s="2">
        <f t="shared" si="9"/>
        <v>2130434.7826086958</v>
      </c>
    </row>
    <row r="29" spans="1:20" x14ac:dyDescent="0.3">
      <c r="A29">
        <v>28</v>
      </c>
      <c r="B29" t="s">
        <v>164</v>
      </c>
      <c r="C29">
        <v>87</v>
      </c>
      <c r="D29">
        <f t="shared" si="1"/>
        <v>10000</v>
      </c>
      <c r="E29" s="3" t="s">
        <v>79</v>
      </c>
      <c r="F29" s="3">
        <f t="shared" si="0"/>
        <v>125100000</v>
      </c>
      <c r="G29" s="3" t="s">
        <v>165</v>
      </c>
      <c r="H29" s="3">
        <f>IF(RIGHT(I29,1)="k", VALUE(LEFT(I29,LEN(I29)-1))*1000,
 IF(RIGHT(I29,1)="m", VALUE(LEFT(I29,LEN(I29)-1))*1000000,
 IF(RIGHT(I29,1)="b", VALUE(LEFT(I29,LEN(I29)-1))*1000000000,
 VALUE(I29))))</f>
        <v>420500</v>
      </c>
      <c r="I29" s="2" t="s">
        <v>166</v>
      </c>
      <c r="J29" s="1">
        <v>6.9999999999999999E-4</v>
      </c>
      <c r="K29" s="2">
        <f t="shared" si="3"/>
        <v>81700</v>
      </c>
      <c r="L29" s="2" t="s">
        <v>167</v>
      </c>
      <c r="M29" s="2">
        <f t="shared" si="4"/>
        <v>4200000000</v>
      </c>
      <c r="N29" s="2" t="s">
        <v>168</v>
      </c>
      <c r="O29" t="s">
        <v>23</v>
      </c>
      <c r="P29" s="2">
        <f t="shared" si="5"/>
        <v>6.5307753796962437E-2</v>
      </c>
      <c r="Q29" s="4">
        <f t="shared" si="6"/>
        <v>-80.570749108204524</v>
      </c>
      <c r="R29" s="2">
        <f t="shared" si="7"/>
        <v>33.573141486810549</v>
      </c>
      <c r="S29" s="5">
        <f t="shared" si="8"/>
        <v>7.9936051159072748E-5</v>
      </c>
      <c r="T29" s="2">
        <f t="shared" si="9"/>
        <v>420000</v>
      </c>
    </row>
    <row r="30" spans="1:20" x14ac:dyDescent="0.3">
      <c r="A30">
        <v>29</v>
      </c>
      <c r="B30" t="s">
        <v>169</v>
      </c>
      <c r="C30">
        <v>90</v>
      </c>
      <c r="D30">
        <f t="shared" si="1"/>
        <v>6900</v>
      </c>
      <c r="E30" s="3" t="s">
        <v>18</v>
      </c>
      <c r="F30" s="3">
        <f t="shared" si="0"/>
        <v>123400000</v>
      </c>
      <c r="G30" s="3" t="s">
        <v>170</v>
      </c>
      <c r="H30" s="3">
        <f>IF(RIGHT(I30,1)="k", VALUE(LEFT(I30,LEN(I30)-1))*1000,
 IF(RIGHT(I30,1)="m", VALUE(LEFT(I30,LEN(I30)-1))*1000000,
 IF(RIGHT(I30,1)="b", VALUE(LEFT(I30,LEN(I30)-1))*1000000000,
 VALUE(I30))))</f>
        <v>996200</v>
      </c>
      <c r="I30" s="2" t="s">
        <v>171</v>
      </c>
      <c r="J30" s="1">
        <v>4.7999999999999996E-3</v>
      </c>
      <c r="K30" s="2">
        <f t="shared" si="3"/>
        <v>588300</v>
      </c>
      <c r="L30" s="2" t="s">
        <v>172</v>
      </c>
      <c r="M30" s="2">
        <f t="shared" si="4"/>
        <v>6800000000</v>
      </c>
      <c r="N30" s="2" t="s">
        <v>173</v>
      </c>
      <c r="O30" t="s">
        <v>16</v>
      </c>
      <c r="P30" s="2">
        <f t="shared" si="5"/>
        <v>0.47674230145867103</v>
      </c>
      <c r="Q30" s="4">
        <f t="shared" si="6"/>
        <v>-40.945593254366592</v>
      </c>
      <c r="R30" s="2">
        <f t="shared" si="7"/>
        <v>55.105348460291737</v>
      </c>
      <c r="S30" s="5">
        <f t="shared" si="8"/>
        <v>5.5915721231766613E-5</v>
      </c>
      <c r="T30" s="2">
        <f t="shared" si="9"/>
        <v>985507.24637681164</v>
      </c>
    </row>
    <row r="31" spans="1:20" x14ac:dyDescent="0.3">
      <c r="A31">
        <v>30</v>
      </c>
      <c r="B31" t="s">
        <v>174</v>
      </c>
      <c r="C31">
        <v>85</v>
      </c>
      <c r="D31">
        <f t="shared" si="1"/>
        <v>5200</v>
      </c>
      <c r="E31" s="3" t="s">
        <v>175</v>
      </c>
      <c r="F31" s="3">
        <f t="shared" si="0"/>
        <v>119600000</v>
      </c>
      <c r="G31" s="3" t="s">
        <v>176</v>
      </c>
      <c r="H31" s="3">
        <f t="shared" si="2"/>
        <v>1700000</v>
      </c>
      <c r="I31" s="2" t="s">
        <v>98</v>
      </c>
      <c r="J31" s="1">
        <v>1.0999999999999999E-2</v>
      </c>
      <c r="K31" s="2">
        <f t="shared" si="3"/>
        <v>1300000</v>
      </c>
      <c r="L31" s="2" t="s">
        <v>115</v>
      </c>
      <c r="M31" s="2">
        <f t="shared" si="4"/>
        <v>9000000000</v>
      </c>
      <c r="N31" s="2" t="s">
        <v>177</v>
      </c>
      <c r="O31" t="s">
        <v>178</v>
      </c>
      <c r="P31" s="2">
        <f t="shared" si="5"/>
        <v>1.0869565217391304</v>
      </c>
      <c r="Q31" s="4">
        <f t="shared" si="6"/>
        <v>-23.52941176470588</v>
      </c>
      <c r="R31" s="2">
        <f t="shared" si="7"/>
        <v>75.250836120401331</v>
      </c>
      <c r="S31" s="5">
        <f t="shared" si="8"/>
        <v>4.347826086956522E-5</v>
      </c>
      <c r="T31" s="2">
        <f t="shared" si="9"/>
        <v>1730769.2307692308</v>
      </c>
    </row>
    <row r="32" spans="1:20" x14ac:dyDescent="0.3">
      <c r="A32">
        <v>31</v>
      </c>
      <c r="B32" t="s">
        <v>179</v>
      </c>
      <c r="C32">
        <v>86</v>
      </c>
      <c r="D32">
        <f t="shared" si="1"/>
        <v>7300</v>
      </c>
      <c r="E32" s="3" t="s">
        <v>180</v>
      </c>
      <c r="F32" s="3">
        <f t="shared" si="0"/>
        <v>118500000</v>
      </c>
      <c r="G32" s="3" t="s">
        <v>181</v>
      </c>
      <c r="H32" s="3">
        <f>IF(RIGHT(I32,1)="k", VALUE(LEFT(I32,LEN(I32)-1))*1000,
 IF(RIGHT(I32,1)="m", VALUE(LEFT(I32,LEN(I32)-1))*1000000,
 IF(RIGHT(I32,1)="b", VALUE(LEFT(I32,LEN(I32)-1))*1000000000,
 VALUE(I32))))</f>
        <v>463200</v>
      </c>
      <c r="I32" s="2" t="s">
        <v>182</v>
      </c>
      <c r="J32" s="1">
        <v>2.2000000000000001E-3</v>
      </c>
      <c r="K32" s="2">
        <f t="shared" si="3"/>
        <v>255900</v>
      </c>
      <c r="L32" s="2" t="s">
        <v>183</v>
      </c>
      <c r="M32" s="2">
        <f t="shared" si="4"/>
        <v>3400000000</v>
      </c>
      <c r="N32" s="2" t="s">
        <v>184</v>
      </c>
      <c r="O32" t="s">
        <v>23</v>
      </c>
      <c r="P32" s="2">
        <f t="shared" si="5"/>
        <v>0.2159493670886076</v>
      </c>
      <c r="Q32" s="4">
        <f t="shared" si="6"/>
        <v>-44.753886010362692</v>
      </c>
      <c r="R32" s="2">
        <f t="shared" si="7"/>
        <v>28.691983122362871</v>
      </c>
      <c r="S32" s="5">
        <f t="shared" si="8"/>
        <v>6.1603375527426158E-5</v>
      </c>
      <c r="T32" s="2">
        <f t="shared" si="9"/>
        <v>465753.42465753423</v>
      </c>
    </row>
    <row r="33" spans="1:20" x14ac:dyDescent="0.3">
      <c r="A33">
        <v>32</v>
      </c>
      <c r="B33" t="s">
        <v>185</v>
      </c>
      <c r="C33">
        <v>90</v>
      </c>
      <c r="D33">
        <f t="shared" si="1"/>
        <v>10000</v>
      </c>
      <c r="E33" s="3" t="s">
        <v>79</v>
      </c>
      <c r="F33" s="3">
        <f t="shared" si="0"/>
        <v>111400000</v>
      </c>
      <c r="G33" s="3" t="s">
        <v>186</v>
      </c>
      <c r="H33" s="3">
        <f t="shared" si="2"/>
        <v>1200000</v>
      </c>
      <c r="I33" s="2" t="s">
        <v>163</v>
      </c>
      <c r="J33" s="1">
        <v>6.4000000000000003E-3</v>
      </c>
      <c r="K33" s="2">
        <f t="shared" si="3"/>
        <v>706300</v>
      </c>
      <c r="L33" s="2" t="s">
        <v>187</v>
      </c>
      <c r="M33" s="2">
        <f t="shared" si="4"/>
        <v>11600000000</v>
      </c>
      <c r="N33" s="2" t="s">
        <v>188</v>
      </c>
      <c r="O33" t="s">
        <v>891</v>
      </c>
      <c r="P33" s="2">
        <f t="shared" si="5"/>
        <v>0.63402154398563737</v>
      </c>
      <c r="Q33" s="4">
        <f t="shared" si="6"/>
        <v>-41.141666666666666</v>
      </c>
      <c r="R33" s="2">
        <f t="shared" si="7"/>
        <v>104.12926391382406</v>
      </c>
      <c r="S33" s="5">
        <f t="shared" si="8"/>
        <v>8.9766606822262124E-5</v>
      </c>
      <c r="T33" s="2">
        <f t="shared" si="9"/>
        <v>1160000</v>
      </c>
    </row>
    <row r="34" spans="1:20" x14ac:dyDescent="0.3">
      <c r="A34">
        <v>33</v>
      </c>
      <c r="B34" t="s">
        <v>189</v>
      </c>
      <c r="C34">
        <v>73</v>
      </c>
      <c r="D34">
        <f t="shared" si="1"/>
        <v>690</v>
      </c>
      <c r="E34" s="3" t="s">
        <v>190</v>
      </c>
      <c r="F34" s="3">
        <f t="shared" ref="F34:F65" si="10">IF(RIGHT(G34,1)="m",VALUE(LEFT(G34,LEN(G34)-1))*1000000)</f>
        <v>105200000</v>
      </c>
      <c r="G34" s="3" t="s">
        <v>191</v>
      </c>
      <c r="H34" s="3">
        <f t="shared" si="2"/>
        <v>8500000</v>
      </c>
      <c r="I34" s="2" t="s">
        <v>192</v>
      </c>
      <c r="J34" s="1">
        <v>5.0200000000000002E-2</v>
      </c>
      <c r="K34" s="2">
        <f t="shared" si="3"/>
        <v>5200000</v>
      </c>
      <c r="L34" s="2" t="s">
        <v>193</v>
      </c>
      <c r="M34" s="2">
        <f t="shared" si="4"/>
        <v>5900000000</v>
      </c>
      <c r="N34" s="2" t="s">
        <v>194</v>
      </c>
      <c r="O34" t="s">
        <v>891</v>
      </c>
      <c r="P34" s="2">
        <f t="shared" si="5"/>
        <v>4.9429657794676807</v>
      </c>
      <c r="Q34" s="4">
        <f t="shared" si="6"/>
        <v>-38.82352941176471</v>
      </c>
      <c r="R34" s="2">
        <f t="shared" si="7"/>
        <v>56.083650190114071</v>
      </c>
      <c r="S34" s="5">
        <f t="shared" si="8"/>
        <v>6.5589353612167302E-6</v>
      </c>
      <c r="T34" s="2">
        <f t="shared" si="9"/>
        <v>8550724.6376811601</v>
      </c>
    </row>
    <row r="35" spans="1:20" x14ac:dyDescent="0.3">
      <c r="A35">
        <v>34</v>
      </c>
      <c r="B35" t="s">
        <v>195</v>
      </c>
      <c r="C35">
        <v>74</v>
      </c>
      <c r="D35">
        <f t="shared" si="1"/>
        <v>1300</v>
      </c>
      <c r="E35" s="3" t="s">
        <v>196</v>
      </c>
      <c r="F35" s="3">
        <f t="shared" si="10"/>
        <v>85900000</v>
      </c>
      <c r="G35" s="3" t="s">
        <v>197</v>
      </c>
      <c r="H35" s="3">
        <f t="shared" si="2"/>
        <v>2100000</v>
      </c>
      <c r="I35" s="2" t="s">
        <v>108</v>
      </c>
      <c r="J35" s="1">
        <v>1.26E-2</v>
      </c>
      <c r="K35" s="2">
        <f t="shared" si="3"/>
        <v>1100000</v>
      </c>
      <c r="L35" s="2" t="s">
        <v>153</v>
      </c>
      <c r="M35" s="2">
        <f t="shared" si="4"/>
        <v>2600000000</v>
      </c>
      <c r="N35" s="2" t="s">
        <v>198</v>
      </c>
      <c r="O35" t="s">
        <v>199</v>
      </c>
      <c r="P35" s="2">
        <f t="shared" si="5"/>
        <v>1.2805587892898718</v>
      </c>
      <c r="Q35" s="4">
        <f t="shared" si="6"/>
        <v>-47.619047619047613</v>
      </c>
      <c r="R35" s="2">
        <f t="shared" si="7"/>
        <v>30.267753201396975</v>
      </c>
      <c r="S35" s="5">
        <f t="shared" si="8"/>
        <v>1.5133876600698487E-5</v>
      </c>
      <c r="T35" s="2">
        <f t="shared" si="9"/>
        <v>2000000</v>
      </c>
    </row>
    <row r="36" spans="1:20" x14ac:dyDescent="0.3">
      <c r="A36">
        <v>35</v>
      </c>
      <c r="B36" t="s">
        <v>200</v>
      </c>
      <c r="C36">
        <v>85</v>
      </c>
      <c r="D36">
        <f t="shared" si="1"/>
        <v>1700</v>
      </c>
      <c r="E36" s="3" t="s">
        <v>201</v>
      </c>
      <c r="F36" s="3">
        <f t="shared" si="10"/>
        <v>85600000</v>
      </c>
      <c r="G36" s="3" t="s">
        <v>202</v>
      </c>
      <c r="H36" s="3">
        <f t="shared" si="2"/>
        <v>1400000</v>
      </c>
      <c r="I36" s="2" t="s">
        <v>99</v>
      </c>
      <c r="J36" s="1">
        <v>6.8999999999999999E-3</v>
      </c>
      <c r="K36" s="2">
        <f t="shared" si="3"/>
        <v>586500</v>
      </c>
      <c r="L36" s="2" t="s">
        <v>203</v>
      </c>
      <c r="M36" s="2">
        <f t="shared" si="4"/>
        <v>2300000000</v>
      </c>
      <c r="N36" s="2" t="s">
        <v>204</v>
      </c>
      <c r="O36" t="s">
        <v>23</v>
      </c>
      <c r="P36" s="2">
        <f t="shared" si="5"/>
        <v>0.68516355140186913</v>
      </c>
      <c r="Q36" s="4">
        <f t="shared" si="6"/>
        <v>-58.107142857142854</v>
      </c>
      <c r="R36" s="2">
        <f t="shared" si="7"/>
        <v>26.869158878504674</v>
      </c>
      <c r="S36" s="5">
        <f t="shared" si="8"/>
        <v>1.9859813084112148E-5</v>
      </c>
      <c r="T36" s="2">
        <f t="shared" si="9"/>
        <v>1352941.1764705882</v>
      </c>
    </row>
    <row r="37" spans="1:20" x14ac:dyDescent="0.3">
      <c r="A37">
        <v>36</v>
      </c>
      <c r="B37" t="s">
        <v>205</v>
      </c>
      <c r="C37">
        <v>88</v>
      </c>
      <c r="D37">
        <f t="shared" si="1"/>
        <v>1800</v>
      </c>
      <c r="E37" s="3" t="s">
        <v>31</v>
      </c>
      <c r="F37" s="3">
        <f t="shared" si="10"/>
        <v>82300000</v>
      </c>
      <c r="G37" s="3" t="s">
        <v>206</v>
      </c>
      <c r="H37" s="3">
        <f t="shared" si="2"/>
        <v>1400000</v>
      </c>
      <c r="I37" s="2" t="s">
        <v>99</v>
      </c>
      <c r="J37" s="1">
        <v>6.0000000000000001E-3</v>
      </c>
      <c r="K37" s="2">
        <f t="shared" si="3"/>
        <v>482300</v>
      </c>
      <c r="L37" s="2" t="s">
        <v>207</v>
      </c>
      <c r="M37" s="2">
        <f t="shared" si="4"/>
        <v>2500000000</v>
      </c>
      <c r="N37" s="2" t="s">
        <v>208</v>
      </c>
      <c r="O37" t="s">
        <v>23</v>
      </c>
      <c r="P37" s="2">
        <f t="shared" si="5"/>
        <v>0.58602673147023077</v>
      </c>
      <c r="Q37" s="4">
        <f t="shared" si="6"/>
        <v>-65.55</v>
      </c>
      <c r="R37" s="2">
        <f t="shared" si="7"/>
        <v>30.376670716889429</v>
      </c>
      <c r="S37" s="5">
        <f t="shared" si="8"/>
        <v>2.1871202916160387E-5</v>
      </c>
      <c r="T37" s="2">
        <f t="shared" si="9"/>
        <v>1388888.888888889</v>
      </c>
    </row>
    <row r="38" spans="1:20" x14ac:dyDescent="0.3">
      <c r="A38">
        <v>37</v>
      </c>
      <c r="B38" t="s">
        <v>209</v>
      </c>
      <c r="C38">
        <v>88</v>
      </c>
      <c r="D38">
        <f t="shared" si="1"/>
        <v>3600</v>
      </c>
      <c r="E38" s="3" t="s">
        <v>210</v>
      </c>
      <c r="F38" s="3">
        <f t="shared" si="10"/>
        <v>81300000</v>
      </c>
      <c r="G38" s="3" t="s">
        <v>211</v>
      </c>
      <c r="H38" s="3">
        <f t="shared" si="2"/>
        <v>1200000</v>
      </c>
      <c r="I38" s="2" t="s">
        <v>163</v>
      </c>
      <c r="J38" s="1">
        <v>1.5299999999999999E-2</v>
      </c>
      <c r="K38" s="2">
        <f t="shared" si="3"/>
        <v>1200000</v>
      </c>
      <c r="L38" s="2" t="s">
        <v>163</v>
      </c>
      <c r="M38" s="2">
        <f t="shared" si="4"/>
        <v>4200000000</v>
      </c>
      <c r="N38" s="2" t="s">
        <v>168</v>
      </c>
      <c r="O38" t="s">
        <v>23</v>
      </c>
      <c r="P38" s="2">
        <f t="shared" si="5"/>
        <v>1.4760147601476015</v>
      </c>
      <c r="Q38" s="4">
        <f t="shared" si="6"/>
        <v>0</v>
      </c>
      <c r="R38" s="2">
        <f t="shared" si="7"/>
        <v>51.660516605166052</v>
      </c>
      <c r="S38" s="5">
        <f t="shared" si="8"/>
        <v>4.4280442804428042E-5</v>
      </c>
      <c r="T38" s="2">
        <f t="shared" si="9"/>
        <v>1166666.6666666667</v>
      </c>
    </row>
    <row r="39" spans="1:20" x14ac:dyDescent="0.3">
      <c r="A39">
        <v>38</v>
      </c>
      <c r="B39" t="s">
        <v>212</v>
      </c>
      <c r="C39">
        <v>85</v>
      </c>
      <c r="D39">
        <f t="shared" si="1"/>
        <v>3600</v>
      </c>
      <c r="E39" s="3" t="s">
        <v>210</v>
      </c>
      <c r="F39" s="3">
        <f t="shared" si="10"/>
        <v>81100000</v>
      </c>
      <c r="G39" s="3" t="s">
        <v>213</v>
      </c>
      <c r="H39" s="3">
        <f t="shared" si="2"/>
        <v>1600000</v>
      </c>
      <c r="I39" s="2" t="s">
        <v>214</v>
      </c>
      <c r="J39" s="1">
        <v>0.01</v>
      </c>
      <c r="K39" s="2">
        <f t="shared" si="3"/>
        <v>802900</v>
      </c>
      <c r="L39" s="2" t="s">
        <v>215</v>
      </c>
      <c r="M39" s="2">
        <f t="shared" si="4"/>
        <v>5600000000</v>
      </c>
      <c r="N39" s="2" t="s">
        <v>216</v>
      </c>
      <c r="O39" t="s">
        <v>23</v>
      </c>
      <c r="P39" s="2">
        <f t="shared" si="5"/>
        <v>0.99001233045622683</v>
      </c>
      <c r="Q39" s="4">
        <f t="shared" si="6"/>
        <v>-49.818750000000001</v>
      </c>
      <c r="R39" s="2">
        <f t="shared" si="7"/>
        <v>69.050554870530206</v>
      </c>
      <c r="S39" s="5">
        <f t="shared" si="8"/>
        <v>4.4389642416769423E-5</v>
      </c>
      <c r="T39" s="2">
        <f t="shared" si="9"/>
        <v>1555555.5555555555</v>
      </c>
    </row>
    <row r="40" spans="1:20" x14ac:dyDescent="0.3">
      <c r="A40">
        <v>39</v>
      </c>
      <c r="B40" t="s">
        <v>217</v>
      </c>
      <c r="C40">
        <v>70</v>
      </c>
      <c r="D40">
        <f t="shared" si="1"/>
        <v>870</v>
      </c>
      <c r="E40" s="3" t="s">
        <v>218</v>
      </c>
      <c r="F40" s="3">
        <f t="shared" si="10"/>
        <v>80900000</v>
      </c>
      <c r="G40" s="3" t="s">
        <v>219</v>
      </c>
      <c r="H40" s="3">
        <f t="shared" si="2"/>
        <v>5800000</v>
      </c>
      <c r="I40" s="2" t="s">
        <v>142</v>
      </c>
      <c r="J40" s="1">
        <v>0.09</v>
      </c>
      <c r="K40" s="2">
        <f t="shared" si="3"/>
        <v>7200000</v>
      </c>
      <c r="L40" s="2" t="s">
        <v>220</v>
      </c>
      <c r="M40" s="2">
        <f t="shared" si="4"/>
        <v>5100000000</v>
      </c>
      <c r="N40" s="2" t="s">
        <v>221</v>
      </c>
      <c r="O40" t="s">
        <v>891</v>
      </c>
      <c r="P40" s="2">
        <f t="shared" si="5"/>
        <v>8.8998763906056855</v>
      </c>
      <c r="Q40" s="4">
        <f t="shared" si="6"/>
        <v>24.137931034482758</v>
      </c>
      <c r="R40" s="2">
        <f t="shared" si="7"/>
        <v>63.040791100123606</v>
      </c>
      <c r="S40" s="5">
        <f t="shared" si="8"/>
        <v>1.0754017305315203E-5</v>
      </c>
      <c r="T40" s="2">
        <f t="shared" si="9"/>
        <v>5862068.9655172415</v>
      </c>
    </row>
    <row r="41" spans="1:20" x14ac:dyDescent="0.3">
      <c r="A41">
        <v>40</v>
      </c>
      <c r="B41" t="s">
        <v>222</v>
      </c>
      <c r="C41">
        <v>88</v>
      </c>
      <c r="D41">
        <f t="shared" si="1"/>
        <v>2000</v>
      </c>
      <c r="E41" s="3" t="s">
        <v>55</v>
      </c>
      <c r="F41" s="3">
        <f t="shared" si="10"/>
        <v>76100000</v>
      </c>
      <c r="G41" s="3" t="s">
        <v>223</v>
      </c>
      <c r="H41" s="3">
        <f>IF(RIGHT(I41,1)="k", VALUE(LEFT(I41,LEN(I41)-1))*1000,
 IF(RIGHT(I41,1)="m", VALUE(LEFT(I41,LEN(I41)-1))*1000000,
 IF(RIGHT(I41,1)="b", VALUE(LEFT(I41,LEN(I41)-1))*1000000000,
 VALUE(I41))))</f>
        <v>975100</v>
      </c>
      <c r="I41" s="2" t="s">
        <v>224</v>
      </c>
      <c r="J41" s="1">
        <v>4.1000000000000003E-3</v>
      </c>
      <c r="K41" s="2">
        <f t="shared" si="3"/>
        <v>304700</v>
      </c>
      <c r="L41" s="2" t="s">
        <v>225</v>
      </c>
      <c r="M41" s="2">
        <f t="shared" si="4"/>
        <v>1900000000</v>
      </c>
      <c r="N41" s="2" t="s">
        <v>226</v>
      </c>
      <c r="O41" t="s">
        <v>891</v>
      </c>
      <c r="P41" s="2">
        <f t="shared" si="5"/>
        <v>0.4003942181340342</v>
      </c>
      <c r="Q41" s="4">
        <f t="shared" si="6"/>
        <v>-68.751922879704637</v>
      </c>
      <c r="R41" s="2">
        <f t="shared" si="7"/>
        <v>24.967148488830485</v>
      </c>
      <c r="S41" s="5">
        <f t="shared" si="8"/>
        <v>2.6281208935611039E-5</v>
      </c>
      <c r="T41" s="2">
        <f t="shared" si="9"/>
        <v>950000</v>
      </c>
    </row>
    <row r="42" spans="1:20" x14ac:dyDescent="0.3">
      <c r="A42">
        <v>41</v>
      </c>
      <c r="B42" t="s">
        <v>227</v>
      </c>
      <c r="C42">
        <v>86</v>
      </c>
      <c r="D42">
        <f t="shared" si="1"/>
        <v>10000</v>
      </c>
      <c r="E42" s="3" t="s">
        <v>79</v>
      </c>
      <c r="F42" s="3">
        <f t="shared" si="10"/>
        <v>75300000</v>
      </c>
      <c r="G42" s="3" t="s">
        <v>228</v>
      </c>
      <c r="H42" s="3">
        <f>IF(RIGHT(I42,1)="k", VALUE(LEFT(I42,LEN(I42)-1))*1000,
 IF(RIGHT(I42,1)="m", VALUE(LEFT(I42,LEN(I42)-1))*1000000,
 IF(RIGHT(I42,1)="b", VALUE(LEFT(I42,LEN(I42)-1))*1000000000,
 VALUE(I42))))</f>
        <v>203700</v>
      </c>
      <c r="I42" s="2" t="s">
        <v>229</v>
      </c>
      <c r="J42" s="1">
        <v>1.6999999999999999E-3</v>
      </c>
      <c r="K42" s="2">
        <f t="shared" si="3"/>
        <v>125800</v>
      </c>
      <c r="L42" s="2" t="s">
        <v>230</v>
      </c>
      <c r="M42" s="2">
        <f t="shared" si="4"/>
        <v>2000000000</v>
      </c>
      <c r="N42" s="2" t="s">
        <v>231</v>
      </c>
      <c r="O42" t="s">
        <v>891</v>
      </c>
      <c r="P42" s="2">
        <f t="shared" si="5"/>
        <v>0.16706507304116866</v>
      </c>
      <c r="Q42" s="4">
        <f t="shared" si="6"/>
        <v>-38.242513500245458</v>
      </c>
      <c r="R42" s="2">
        <f t="shared" si="7"/>
        <v>26.56042496679947</v>
      </c>
      <c r="S42" s="5">
        <f t="shared" si="8"/>
        <v>1.3280212483399734E-4</v>
      </c>
      <c r="T42" s="2">
        <f t="shared" si="9"/>
        <v>200000</v>
      </c>
    </row>
    <row r="43" spans="1:20" x14ac:dyDescent="0.3">
      <c r="A43">
        <v>42</v>
      </c>
      <c r="B43" t="s">
        <v>232</v>
      </c>
      <c r="C43">
        <v>85</v>
      </c>
      <c r="D43">
        <f t="shared" si="1"/>
        <v>3300</v>
      </c>
      <c r="E43" s="3" t="s">
        <v>11</v>
      </c>
      <c r="F43" s="3">
        <f t="shared" si="10"/>
        <v>75300000</v>
      </c>
      <c r="G43" s="3" t="s">
        <v>228</v>
      </c>
      <c r="H43" s="3">
        <f t="shared" si="2"/>
        <v>2500000</v>
      </c>
      <c r="I43" s="2" t="s">
        <v>233</v>
      </c>
      <c r="J43" s="1">
        <v>2.5600000000000001E-2</v>
      </c>
      <c r="K43" s="2">
        <f t="shared" si="3"/>
        <v>1900000</v>
      </c>
      <c r="L43" s="2" t="s">
        <v>39</v>
      </c>
      <c r="M43" s="2">
        <f t="shared" si="4"/>
        <v>8199999999.999999</v>
      </c>
      <c r="N43" s="2" t="s">
        <v>234</v>
      </c>
      <c r="O43" t="s">
        <v>23</v>
      </c>
      <c r="P43" s="2">
        <f t="shared" si="5"/>
        <v>2.5232403718459495</v>
      </c>
      <c r="Q43" s="4">
        <f t="shared" si="6"/>
        <v>-24</v>
      </c>
      <c r="R43" s="2">
        <f t="shared" si="7"/>
        <v>108.89774236387781</v>
      </c>
      <c r="S43" s="5">
        <f t="shared" si="8"/>
        <v>4.3824701195219122E-5</v>
      </c>
      <c r="T43" s="2">
        <f t="shared" si="9"/>
        <v>2484848.4848484844</v>
      </c>
    </row>
    <row r="44" spans="1:20" x14ac:dyDescent="0.3">
      <c r="A44">
        <v>43</v>
      </c>
      <c r="B44" t="s">
        <v>235</v>
      </c>
      <c r="C44">
        <v>86</v>
      </c>
      <c r="D44">
        <f t="shared" si="1"/>
        <v>1500</v>
      </c>
      <c r="E44" s="3" t="s">
        <v>236</v>
      </c>
      <c r="F44" s="3">
        <f t="shared" si="10"/>
        <v>74900000</v>
      </c>
      <c r="G44" s="3" t="s">
        <v>237</v>
      </c>
      <c r="H44" s="3">
        <f t="shared" si="2"/>
        <v>1200000</v>
      </c>
      <c r="I44" s="2" t="s">
        <v>163</v>
      </c>
      <c r="J44" s="1">
        <v>4.5999999999999999E-3</v>
      </c>
      <c r="K44" s="2">
        <f t="shared" si="3"/>
        <v>340900</v>
      </c>
      <c r="L44" s="2" t="s">
        <v>238</v>
      </c>
      <c r="M44" s="2">
        <f t="shared" si="4"/>
        <v>1900000000</v>
      </c>
      <c r="N44" s="2" t="s">
        <v>226</v>
      </c>
      <c r="O44" t="s">
        <v>23</v>
      </c>
      <c r="P44" s="2">
        <f t="shared" si="5"/>
        <v>0.45514018691588787</v>
      </c>
      <c r="Q44" s="4">
        <f t="shared" si="6"/>
        <v>-71.591666666666669</v>
      </c>
      <c r="R44" s="2">
        <f t="shared" si="7"/>
        <v>25.367156208277702</v>
      </c>
      <c r="S44" s="5">
        <f t="shared" si="8"/>
        <v>2.0026702269692923E-5</v>
      </c>
      <c r="T44" s="2">
        <f t="shared" si="9"/>
        <v>1266666.6666666667</v>
      </c>
    </row>
    <row r="45" spans="1:20" x14ac:dyDescent="0.3">
      <c r="A45">
        <v>44</v>
      </c>
      <c r="B45" t="s">
        <v>239</v>
      </c>
      <c r="C45">
        <v>81</v>
      </c>
      <c r="D45">
        <f t="shared" si="1"/>
        <v>1900</v>
      </c>
      <c r="E45" s="3" t="s">
        <v>240</v>
      </c>
      <c r="F45" s="3">
        <f t="shared" si="10"/>
        <v>73900000</v>
      </c>
      <c r="G45" s="3" t="s">
        <v>241</v>
      </c>
      <c r="H45" s="3">
        <f t="shared" si="2"/>
        <v>1600000</v>
      </c>
      <c r="I45" s="2" t="s">
        <v>214</v>
      </c>
      <c r="J45" s="1">
        <v>1.17E-2</v>
      </c>
      <c r="K45" s="2">
        <f t="shared" si="3"/>
        <v>859900</v>
      </c>
      <c r="L45" s="2" t="s">
        <v>242</v>
      </c>
      <c r="M45" s="2">
        <f t="shared" si="4"/>
        <v>3000000000</v>
      </c>
      <c r="N45" s="2" t="s">
        <v>83</v>
      </c>
      <c r="O45" t="s">
        <v>891</v>
      </c>
      <c r="P45" s="2">
        <f t="shared" si="5"/>
        <v>1.1635994587280107</v>
      </c>
      <c r="Q45" s="4">
        <f t="shared" si="6"/>
        <v>-46.256250000000001</v>
      </c>
      <c r="R45" s="2">
        <f t="shared" si="7"/>
        <v>40.595399188092017</v>
      </c>
      <c r="S45" s="5">
        <f t="shared" si="8"/>
        <v>2.5710419485791609E-5</v>
      </c>
      <c r="T45" s="2">
        <f t="shared" si="9"/>
        <v>1578947.3684210526</v>
      </c>
    </row>
    <row r="46" spans="1:20" x14ac:dyDescent="0.3">
      <c r="A46">
        <v>45</v>
      </c>
      <c r="B46" t="s">
        <v>243</v>
      </c>
      <c r="C46">
        <v>88</v>
      </c>
      <c r="D46">
        <f t="shared" si="1"/>
        <v>2900</v>
      </c>
      <c r="E46" s="3" t="s">
        <v>244</v>
      </c>
      <c r="F46" s="3">
        <f t="shared" si="10"/>
        <v>73200000</v>
      </c>
      <c r="G46" s="3" t="s">
        <v>245</v>
      </c>
      <c r="H46" s="3">
        <f>IF(RIGHT(I46,1)="k", VALUE(LEFT(I46,LEN(I46)-1))*1000,
 IF(RIGHT(I46,1)="m", VALUE(LEFT(I46,LEN(I46)-1))*1000000,
 IF(RIGHT(I46,1)="b", VALUE(LEFT(I46,LEN(I46)-1))*1000000000,
 VALUE(I46))))</f>
        <v>147000</v>
      </c>
      <c r="I46" s="2" t="s">
        <v>246</v>
      </c>
      <c r="J46" s="1">
        <v>4.0000000000000002E-4</v>
      </c>
      <c r="K46" s="2">
        <f t="shared" si="3"/>
        <v>29800</v>
      </c>
      <c r="L46" s="2" t="s">
        <v>247</v>
      </c>
      <c r="M46" s="2">
        <f t="shared" si="4"/>
        <v>423500000</v>
      </c>
      <c r="N46" s="2" t="s">
        <v>248</v>
      </c>
      <c r="O46" t="s">
        <v>23</v>
      </c>
      <c r="P46" s="2">
        <f t="shared" si="5"/>
        <v>4.07103825136612E-2</v>
      </c>
      <c r="Q46" s="4">
        <f t="shared" si="6"/>
        <v>-79.727891156462576</v>
      </c>
      <c r="R46" s="2">
        <f t="shared" si="7"/>
        <v>5.7855191256830603</v>
      </c>
      <c r="S46" s="5">
        <f t="shared" si="8"/>
        <v>3.9617486338797817E-5</v>
      </c>
      <c r="T46" s="2">
        <f t="shared" si="9"/>
        <v>146034.4827586207</v>
      </c>
    </row>
    <row r="47" spans="1:20" x14ac:dyDescent="0.3">
      <c r="A47">
        <v>46</v>
      </c>
      <c r="B47" t="s">
        <v>249</v>
      </c>
      <c r="C47">
        <v>86</v>
      </c>
      <c r="D47">
        <f t="shared" si="1"/>
        <v>1200</v>
      </c>
      <c r="E47" s="3" t="s">
        <v>118</v>
      </c>
      <c r="F47" s="3">
        <f t="shared" si="10"/>
        <v>72700000</v>
      </c>
      <c r="G47" s="3" t="s">
        <v>250</v>
      </c>
      <c r="H47" s="3">
        <f t="shared" si="2"/>
        <v>2500000</v>
      </c>
      <c r="I47" s="2" t="s">
        <v>233</v>
      </c>
      <c r="J47" s="1">
        <v>2.1600000000000001E-2</v>
      </c>
      <c r="K47" s="2">
        <f t="shared" si="3"/>
        <v>1600000</v>
      </c>
      <c r="L47" s="2" t="s">
        <v>214</v>
      </c>
      <c r="M47" s="2">
        <f t="shared" si="4"/>
        <v>2800000000</v>
      </c>
      <c r="N47" s="2" t="s">
        <v>251</v>
      </c>
      <c r="O47" t="s">
        <v>891</v>
      </c>
      <c r="P47" s="2">
        <f t="shared" si="5"/>
        <v>2.200825309491059</v>
      </c>
      <c r="Q47" s="4">
        <f t="shared" si="6"/>
        <v>-36</v>
      </c>
      <c r="R47" s="2">
        <f t="shared" si="7"/>
        <v>38.514442916093536</v>
      </c>
      <c r="S47" s="5">
        <f t="shared" si="8"/>
        <v>1.6506189821182943E-5</v>
      </c>
      <c r="T47" s="2">
        <f t="shared" si="9"/>
        <v>2333333.3333333335</v>
      </c>
    </row>
    <row r="48" spans="1:20" x14ac:dyDescent="0.3">
      <c r="A48">
        <v>47</v>
      </c>
      <c r="B48" t="s">
        <v>252</v>
      </c>
      <c r="C48">
        <v>84</v>
      </c>
      <c r="D48">
        <f t="shared" si="1"/>
        <v>2300</v>
      </c>
      <c r="E48" s="3" t="s">
        <v>161</v>
      </c>
      <c r="F48" s="3">
        <f t="shared" si="10"/>
        <v>70400000</v>
      </c>
      <c r="G48" s="3" t="s">
        <v>253</v>
      </c>
      <c r="H48" s="3">
        <f t="shared" si="2"/>
        <v>1500000</v>
      </c>
      <c r="I48" s="2" t="s">
        <v>69</v>
      </c>
      <c r="J48" s="1">
        <v>5.4000000000000003E-3</v>
      </c>
      <c r="K48" s="2">
        <f t="shared" si="3"/>
        <v>370100</v>
      </c>
      <c r="L48" s="2" t="s">
        <v>254</v>
      </c>
      <c r="M48" s="2">
        <f t="shared" si="4"/>
        <v>3500000000</v>
      </c>
      <c r="N48" s="2" t="s">
        <v>255</v>
      </c>
      <c r="O48" t="s">
        <v>256</v>
      </c>
      <c r="P48" s="2">
        <f t="shared" si="5"/>
        <v>0.52571022727272732</v>
      </c>
      <c r="Q48" s="4">
        <f t="shared" si="6"/>
        <v>-75.326666666666668</v>
      </c>
      <c r="R48" s="2">
        <f t="shared" si="7"/>
        <v>49.715909090909093</v>
      </c>
      <c r="S48" s="5">
        <f t="shared" si="8"/>
        <v>3.2670454545454543E-5</v>
      </c>
      <c r="T48" s="2">
        <f t="shared" si="9"/>
        <v>1521739.1304347827</v>
      </c>
    </row>
    <row r="49" spans="1:20" x14ac:dyDescent="0.3">
      <c r="A49">
        <v>48</v>
      </c>
      <c r="B49" t="s">
        <v>257</v>
      </c>
      <c r="C49">
        <v>87</v>
      </c>
      <c r="D49">
        <f t="shared" si="1"/>
        <v>12900</v>
      </c>
      <c r="E49" s="3" t="s">
        <v>258</v>
      </c>
      <c r="F49" s="3">
        <f t="shared" si="10"/>
        <v>70100000</v>
      </c>
      <c r="G49" s="3" t="s">
        <v>259</v>
      </c>
      <c r="H49" s="3">
        <f>IF(RIGHT(I49,1)="k", VALUE(LEFT(I49,LEN(I49)-1))*1000,
 IF(RIGHT(I49,1)="m", VALUE(LEFT(I49,LEN(I49)-1))*1000000,
 IF(RIGHT(I49,1)="b", VALUE(LEFT(I49,LEN(I49)-1))*1000000000,
 VALUE(I49))))</f>
        <v>370800</v>
      </c>
      <c r="I49" s="2" t="s">
        <v>260</v>
      </c>
      <c r="J49" s="1">
        <v>2.8E-3</v>
      </c>
      <c r="K49" s="2">
        <f t="shared" si="3"/>
        <v>196900</v>
      </c>
      <c r="L49" s="2" t="s">
        <v>261</v>
      </c>
      <c r="M49" s="2">
        <f t="shared" si="4"/>
        <v>4800000000</v>
      </c>
      <c r="N49" s="2" t="s">
        <v>262</v>
      </c>
      <c r="O49" t="s">
        <v>23</v>
      </c>
      <c r="P49" s="2">
        <f t="shared" si="5"/>
        <v>0.28088445078459345</v>
      </c>
      <c r="Q49" s="4">
        <f t="shared" si="6"/>
        <v>-46.898597626752967</v>
      </c>
      <c r="R49" s="2">
        <f t="shared" si="7"/>
        <v>68.473609129814548</v>
      </c>
      <c r="S49" s="5">
        <f t="shared" si="8"/>
        <v>1.8402282453637662E-4</v>
      </c>
      <c r="T49" s="2">
        <f t="shared" si="9"/>
        <v>372093.02325581393</v>
      </c>
    </row>
    <row r="50" spans="1:20" x14ac:dyDescent="0.3">
      <c r="A50">
        <v>49</v>
      </c>
      <c r="B50" t="s">
        <v>263</v>
      </c>
      <c r="C50">
        <v>83</v>
      </c>
      <c r="D50">
        <f t="shared" si="1"/>
        <v>2500</v>
      </c>
      <c r="E50" s="3" t="s">
        <v>264</v>
      </c>
      <c r="F50" s="3">
        <f t="shared" si="10"/>
        <v>69900000</v>
      </c>
      <c r="G50" s="3" t="s">
        <v>265</v>
      </c>
      <c r="H50" s="3">
        <f t="shared" si="2"/>
        <v>3500000</v>
      </c>
      <c r="I50" s="2" t="s">
        <v>45</v>
      </c>
      <c r="J50" s="1">
        <v>2.87E-2</v>
      </c>
      <c r="K50" s="2">
        <f t="shared" si="3"/>
        <v>2000000</v>
      </c>
      <c r="L50" s="2" t="s">
        <v>58</v>
      </c>
      <c r="M50" s="2">
        <f t="shared" si="4"/>
        <v>8800000000</v>
      </c>
      <c r="N50" s="2" t="s">
        <v>266</v>
      </c>
      <c r="O50" t="s">
        <v>71</v>
      </c>
      <c r="P50" s="2">
        <f t="shared" si="5"/>
        <v>2.8612303290414878</v>
      </c>
      <c r="Q50" s="4">
        <f t="shared" si="6"/>
        <v>-42.857142857142854</v>
      </c>
      <c r="R50" s="2">
        <f t="shared" si="7"/>
        <v>125.89413447782546</v>
      </c>
      <c r="S50" s="5">
        <f t="shared" si="8"/>
        <v>3.5765379113018601E-5</v>
      </c>
      <c r="T50" s="2">
        <f t="shared" si="9"/>
        <v>3520000</v>
      </c>
    </row>
    <row r="51" spans="1:20" x14ac:dyDescent="0.3">
      <c r="A51">
        <v>50</v>
      </c>
      <c r="B51" t="s">
        <v>267</v>
      </c>
      <c r="C51">
        <v>76</v>
      </c>
      <c r="D51">
        <f t="shared" si="1"/>
        <v>860</v>
      </c>
      <c r="E51" s="3" t="s">
        <v>268</v>
      </c>
      <c r="F51" s="3">
        <f t="shared" si="10"/>
        <v>68900000</v>
      </c>
      <c r="G51" s="3" t="s">
        <v>269</v>
      </c>
      <c r="H51" s="3">
        <f t="shared" si="2"/>
        <v>5100000</v>
      </c>
      <c r="I51" s="2" t="s">
        <v>76</v>
      </c>
      <c r="J51" s="1">
        <v>8.3599999999999994E-2</v>
      </c>
      <c r="K51" s="2">
        <f t="shared" si="3"/>
        <v>5700000</v>
      </c>
      <c r="L51" s="2" t="s">
        <v>270</v>
      </c>
      <c r="M51" s="2">
        <f t="shared" si="4"/>
        <v>4400000000</v>
      </c>
      <c r="N51" s="2" t="s">
        <v>271</v>
      </c>
      <c r="O51" t="s">
        <v>891</v>
      </c>
      <c r="P51" s="2">
        <f t="shared" si="5"/>
        <v>8.2728592162554424</v>
      </c>
      <c r="Q51" s="4">
        <f t="shared" si="6"/>
        <v>11.76470588235294</v>
      </c>
      <c r="R51" s="2">
        <f t="shared" si="7"/>
        <v>63.860667634252543</v>
      </c>
      <c r="S51" s="5">
        <f t="shared" si="8"/>
        <v>1.2481857764876632E-5</v>
      </c>
      <c r="T51" s="2">
        <f t="shared" si="9"/>
        <v>5116279.0697674416</v>
      </c>
    </row>
    <row r="52" spans="1:20" x14ac:dyDescent="0.3">
      <c r="A52">
        <v>51</v>
      </c>
      <c r="B52" t="s">
        <v>272</v>
      </c>
      <c r="C52">
        <v>85</v>
      </c>
      <c r="D52">
        <f t="shared" si="1"/>
        <v>540</v>
      </c>
      <c r="E52" s="3" t="s">
        <v>273</v>
      </c>
      <c r="F52" s="3">
        <f t="shared" si="10"/>
        <v>68900000</v>
      </c>
      <c r="G52" s="3" t="s">
        <v>269</v>
      </c>
      <c r="H52" s="3">
        <f t="shared" si="2"/>
        <v>2900000</v>
      </c>
      <c r="I52" s="2" t="s">
        <v>46</v>
      </c>
      <c r="J52" s="1">
        <v>3.0099999999999998E-2</v>
      </c>
      <c r="K52" s="2">
        <f t="shared" si="3"/>
        <v>2000000</v>
      </c>
      <c r="L52" s="2" t="s">
        <v>58</v>
      </c>
      <c r="M52" s="2">
        <f t="shared" si="4"/>
        <v>1600000000</v>
      </c>
      <c r="N52" s="2" t="s">
        <v>121</v>
      </c>
      <c r="O52" t="s">
        <v>256</v>
      </c>
      <c r="P52" s="2">
        <f t="shared" si="5"/>
        <v>2.9027576197387517</v>
      </c>
      <c r="Q52" s="4">
        <f t="shared" si="6"/>
        <v>-31.03448275862069</v>
      </c>
      <c r="R52" s="2">
        <f t="shared" si="7"/>
        <v>23.222060957910013</v>
      </c>
      <c r="S52" s="5">
        <f t="shared" si="8"/>
        <v>7.83744557329463E-6</v>
      </c>
      <c r="T52" s="2">
        <f t="shared" si="9"/>
        <v>2962962.9629629632</v>
      </c>
    </row>
    <row r="53" spans="1:20" x14ac:dyDescent="0.3">
      <c r="A53">
        <v>52</v>
      </c>
      <c r="B53" t="s">
        <v>274</v>
      </c>
      <c r="C53">
        <v>82</v>
      </c>
      <c r="D53">
        <f t="shared" si="1"/>
        <v>1800</v>
      </c>
      <c r="E53" s="3" t="s">
        <v>31</v>
      </c>
      <c r="F53" s="3">
        <f t="shared" si="10"/>
        <v>68700000</v>
      </c>
      <c r="G53" s="3" t="s">
        <v>275</v>
      </c>
      <c r="H53" s="3">
        <f t="shared" si="2"/>
        <v>1800000</v>
      </c>
      <c r="I53" s="2" t="s">
        <v>114</v>
      </c>
      <c r="J53" s="1">
        <v>3.1399999999999997E-2</v>
      </c>
      <c r="K53" s="2">
        <f t="shared" si="3"/>
        <v>2100000</v>
      </c>
      <c r="L53" s="2" t="s">
        <v>108</v>
      </c>
      <c r="M53" s="2">
        <f t="shared" si="4"/>
        <v>3300000000</v>
      </c>
      <c r="N53" s="2" t="s">
        <v>276</v>
      </c>
      <c r="O53" t="s">
        <v>256</v>
      </c>
      <c r="P53" s="2">
        <f t="shared" si="5"/>
        <v>3.0567685589519651</v>
      </c>
      <c r="Q53" s="4">
        <f t="shared" si="6"/>
        <v>16.666666666666664</v>
      </c>
      <c r="R53" s="2">
        <f t="shared" si="7"/>
        <v>48.034934497816593</v>
      </c>
      <c r="S53" s="5">
        <f t="shared" si="8"/>
        <v>2.6200873362445416E-5</v>
      </c>
      <c r="T53" s="2">
        <f t="shared" si="9"/>
        <v>1833333.3333333333</v>
      </c>
    </row>
    <row r="54" spans="1:20" x14ac:dyDescent="0.3">
      <c r="A54">
        <v>53</v>
      </c>
      <c r="B54" t="s">
        <v>277</v>
      </c>
      <c r="C54">
        <v>83</v>
      </c>
      <c r="D54">
        <f t="shared" si="1"/>
        <v>260</v>
      </c>
      <c r="E54" s="3" t="s">
        <v>278</v>
      </c>
      <c r="F54" s="3">
        <f t="shared" si="10"/>
        <v>68400000</v>
      </c>
      <c r="G54" s="3" t="s">
        <v>279</v>
      </c>
      <c r="H54" s="3">
        <f t="shared" si="2"/>
        <v>1600000</v>
      </c>
      <c r="I54" s="2" t="s">
        <v>214</v>
      </c>
      <c r="J54" s="1">
        <v>2.23E-2</v>
      </c>
      <c r="K54" s="2">
        <f t="shared" si="3"/>
        <v>1500000</v>
      </c>
      <c r="L54" s="2" t="s">
        <v>69</v>
      </c>
      <c r="M54" s="2">
        <f t="shared" si="4"/>
        <v>419000000</v>
      </c>
      <c r="N54" s="2" t="s">
        <v>280</v>
      </c>
      <c r="O54" t="s">
        <v>256</v>
      </c>
      <c r="P54" s="2">
        <f t="shared" si="5"/>
        <v>2.1929824561403506</v>
      </c>
      <c r="Q54" s="4">
        <f t="shared" si="6"/>
        <v>-6.25</v>
      </c>
      <c r="R54" s="2">
        <f t="shared" si="7"/>
        <v>6.1257309941520468</v>
      </c>
      <c r="S54" s="5">
        <f t="shared" si="8"/>
        <v>3.8011695906432747E-6</v>
      </c>
      <c r="T54" s="2">
        <f t="shared" si="9"/>
        <v>1611538.4615384615</v>
      </c>
    </row>
    <row r="55" spans="1:20" x14ac:dyDescent="0.3">
      <c r="A55">
        <v>54</v>
      </c>
      <c r="B55" t="s">
        <v>281</v>
      </c>
      <c r="C55">
        <v>77</v>
      </c>
      <c r="D55">
        <f t="shared" si="1"/>
        <v>1200</v>
      </c>
      <c r="E55" s="3" t="s">
        <v>118</v>
      </c>
      <c r="F55" s="3">
        <f t="shared" si="10"/>
        <v>67700000</v>
      </c>
      <c r="G55" s="3" t="s">
        <v>282</v>
      </c>
      <c r="H55" s="3">
        <f t="shared" si="2"/>
        <v>5400000</v>
      </c>
      <c r="I55" s="2" t="s">
        <v>283</v>
      </c>
      <c r="J55" s="1">
        <v>0.10829999999999999</v>
      </c>
      <c r="K55" s="2">
        <f t="shared" si="3"/>
        <v>7300000</v>
      </c>
      <c r="L55" s="2" t="s">
        <v>284</v>
      </c>
      <c r="M55" s="2">
        <f t="shared" si="4"/>
        <v>6600000000</v>
      </c>
      <c r="N55" s="2" t="s">
        <v>285</v>
      </c>
      <c r="O55" t="s">
        <v>891</v>
      </c>
      <c r="P55" s="2">
        <f t="shared" si="5"/>
        <v>10.782865583456426</v>
      </c>
      <c r="Q55" s="4">
        <f t="shared" si="6"/>
        <v>35.185185185185183</v>
      </c>
      <c r="R55" s="2">
        <f t="shared" si="7"/>
        <v>97.488921713441655</v>
      </c>
      <c r="S55" s="5">
        <f t="shared" si="8"/>
        <v>1.7725258493353029E-5</v>
      </c>
      <c r="T55" s="2">
        <f t="shared" si="9"/>
        <v>5500000</v>
      </c>
    </row>
    <row r="56" spans="1:20" x14ac:dyDescent="0.3">
      <c r="A56">
        <v>55</v>
      </c>
      <c r="B56" t="s">
        <v>286</v>
      </c>
      <c r="C56">
        <v>78</v>
      </c>
      <c r="D56">
        <f t="shared" si="1"/>
        <v>2900</v>
      </c>
      <c r="E56" s="3" t="s">
        <v>244</v>
      </c>
      <c r="F56" s="3">
        <f t="shared" si="10"/>
        <v>67700000</v>
      </c>
      <c r="G56" s="3" t="s">
        <v>282</v>
      </c>
      <c r="H56" s="3">
        <f>IF(RIGHT(I56,1)="k", VALUE(LEFT(I56,LEN(I56)-1))*1000,
 IF(RIGHT(I56,1)="m", VALUE(LEFT(I56,LEN(I56)-1))*1000000,
 IF(RIGHT(I56,1)="b", VALUE(LEFT(I56,LEN(I56)-1))*1000000000,
 VALUE(I56))))</f>
        <v>872900</v>
      </c>
      <c r="I56" s="2" t="s">
        <v>287</v>
      </c>
      <c r="J56" s="1">
        <v>4.8999999999999998E-3</v>
      </c>
      <c r="K56" s="2">
        <f t="shared" si="3"/>
        <v>325700</v>
      </c>
      <c r="L56" s="2" t="s">
        <v>288</v>
      </c>
      <c r="M56" s="2">
        <f t="shared" si="4"/>
        <v>2600000000</v>
      </c>
      <c r="N56" s="2" t="s">
        <v>198</v>
      </c>
      <c r="O56" t="s">
        <v>127</v>
      </c>
      <c r="P56" s="2">
        <f t="shared" si="5"/>
        <v>0.48109305760709009</v>
      </c>
      <c r="Q56" s="4">
        <f t="shared" si="6"/>
        <v>-62.687593080536139</v>
      </c>
      <c r="R56" s="2">
        <f t="shared" si="7"/>
        <v>38.404726735598224</v>
      </c>
      <c r="S56" s="5">
        <f t="shared" si="8"/>
        <v>4.2836041358936486E-5</v>
      </c>
      <c r="T56" s="2">
        <f t="shared" si="9"/>
        <v>896551.72413793101</v>
      </c>
    </row>
    <row r="57" spans="1:20" x14ac:dyDescent="0.3">
      <c r="A57">
        <v>56</v>
      </c>
      <c r="B57" t="s">
        <v>289</v>
      </c>
      <c r="C57">
        <v>87</v>
      </c>
      <c r="D57">
        <f t="shared" si="1"/>
        <v>340</v>
      </c>
      <c r="E57" s="3" t="s">
        <v>290</v>
      </c>
      <c r="F57" s="3">
        <f t="shared" si="10"/>
        <v>67300000</v>
      </c>
      <c r="G57" s="3" t="s">
        <v>291</v>
      </c>
      <c r="H57" s="3">
        <f t="shared" ref="H57:H120" si="11">IF(RIGHT(I57,1)="k", VALUE(LEFT(I57,LEN(I57)-1))*1000,
 IF(RIGHT(I57,1)="m", VALUE(LEFT(I57,LEN(I57)-1))*1000000,
 IF(RIGHT(I57,1)="b", VALUE(LEFT(I57,LEN(I57)-1))*1000000000,
 VALUE(I57))))</f>
        <v>1900000</v>
      </c>
      <c r="I57" s="2" t="s">
        <v>39</v>
      </c>
      <c r="J57" s="1">
        <v>1E-4</v>
      </c>
      <c r="K57" s="2">
        <f t="shared" si="3"/>
        <v>0</v>
      </c>
      <c r="L57" s="2">
        <v>0</v>
      </c>
      <c r="M57" s="2">
        <f t="shared" si="4"/>
        <v>639000000</v>
      </c>
      <c r="N57" s="2" t="s">
        <v>292</v>
      </c>
      <c r="O57" t="s">
        <v>23</v>
      </c>
      <c r="P57" s="2">
        <f t="shared" si="5"/>
        <v>0</v>
      </c>
      <c r="Q57" s="4">
        <f t="shared" si="6"/>
        <v>-100</v>
      </c>
      <c r="R57" s="2">
        <f t="shared" si="7"/>
        <v>9.4947994056463596</v>
      </c>
      <c r="S57" s="5">
        <f t="shared" si="8"/>
        <v>5.0520059435364041E-6</v>
      </c>
      <c r="T57" s="2">
        <f t="shared" si="9"/>
        <v>1879411.7647058824</v>
      </c>
    </row>
    <row r="58" spans="1:20" x14ac:dyDescent="0.3">
      <c r="A58">
        <v>57</v>
      </c>
      <c r="B58" t="s">
        <v>293</v>
      </c>
      <c r="C58">
        <v>78</v>
      </c>
      <c r="D58">
        <f t="shared" si="1"/>
        <v>1200</v>
      </c>
      <c r="E58" s="3" t="s">
        <v>118</v>
      </c>
      <c r="F58" s="3">
        <f t="shared" si="10"/>
        <v>66900000.000000007</v>
      </c>
      <c r="G58" s="3" t="s">
        <v>294</v>
      </c>
      <c r="H58" s="3">
        <f t="shared" si="11"/>
        <v>4099999.9999999995</v>
      </c>
      <c r="I58" s="2" t="s">
        <v>295</v>
      </c>
      <c r="J58" s="1">
        <v>5.3999999999999999E-2</v>
      </c>
      <c r="K58" s="2">
        <f t="shared" si="3"/>
        <v>3600000</v>
      </c>
      <c r="L58" s="2" t="s">
        <v>57</v>
      </c>
      <c r="M58" s="2">
        <f t="shared" si="4"/>
        <v>4900000000</v>
      </c>
      <c r="N58" s="2" t="s">
        <v>104</v>
      </c>
      <c r="O58" t="s">
        <v>296</v>
      </c>
      <c r="P58" s="2">
        <f t="shared" si="5"/>
        <v>5.3811659192825108</v>
      </c>
      <c r="Q58" s="4">
        <f t="shared" si="6"/>
        <v>-12.195121951219502</v>
      </c>
      <c r="R58" s="2">
        <f t="shared" si="7"/>
        <v>73.243647234678619</v>
      </c>
      <c r="S58" s="5">
        <f t="shared" si="8"/>
        <v>1.7937219730941702E-5</v>
      </c>
      <c r="T58" s="2">
        <f t="shared" si="9"/>
        <v>4083333.3333333335</v>
      </c>
    </row>
    <row r="59" spans="1:20" x14ac:dyDescent="0.3">
      <c r="A59">
        <v>58</v>
      </c>
      <c r="B59" t="s">
        <v>297</v>
      </c>
      <c r="C59">
        <v>85</v>
      </c>
      <c r="D59">
        <f t="shared" si="1"/>
        <v>1000</v>
      </c>
      <c r="E59" s="3" t="s">
        <v>298</v>
      </c>
      <c r="F59" s="3">
        <f t="shared" si="10"/>
        <v>66300000</v>
      </c>
      <c r="G59" s="3" t="s">
        <v>299</v>
      </c>
      <c r="H59" s="3">
        <f t="shared" si="11"/>
        <v>1700000</v>
      </c>
      <c r="I59" s="2" t="s">
        <v>98</v>
      </c>
      <c r="J59" s="1">
        <v>2.2499999999999999E-2</v>
      </c>
      <c r="K59" s="2">
        <f t="shared" si="3"/>
        <v>1500000</v>
      </c>
      <c r="L59" s="2" t="s">
        <v>69</v>
      </c>
      <c r="M59" s="2">
        <f t="shared" si="4"/>
        <v>1700000000</v>
      </c>
      <c r="N59" s="2" t="s">
        <v>300</v>
      </c>
      <c r="O59" t="s">
        <v>256</v>
      </c>
      <c r="P59" s="2">
        <f t="shared" si="5"/>
        <v>2.2624434389140271</v>
      </c>
      <c r="Q59" s="4">
        <f t="shared" si="6"/>
        <v>-11.76470588235294</v>
      </c>
      <c r="R59" s="2">
        <f t="shared" si="7"/>
        <v>25.641025641025642</v>
      </c>
      <c r="S59" s="5">
        <f t="shared" si="8"/>
        <v>1.5082956259426848E-5</v>
      </c>
      <c r="T59" s="2">
        <f t="shared" si="9"/>
        <v>1700000</v>
      </c>
    </row>
    <row r="60" spans="1:20" x14ac:dyDescent="0.3">
      <c r="A60">
        <v>59</v>
      </c>
      <c r="B60" t="s">
        <v>301</v>
      </c>
      <c r="C60">
        <v>82</v>
      </c>
      <c r="D60">
        <f t="shared" si="1"/>
        <v>7000</v>
      </c>
      <c r="E60" s="3" t="s">
        <v>302</v>
      </c>
      <c r="F60" s="3">
        <f t="shared" si="10"/>
        <v>66200000</v>
      </c>
      <c r="G60" s="3" t="s">
        <v>303</v>
      </c>
      <c r="H60" s="3">
        <f t="shared" si="11"/>
        <v>332300</v>
      </c>
      <c r="I60" s="2" t="s">
        <v>304</v>
      </c>
      <c r="J60" s="1">
        <v>5.1000000000000004E-3</v>
      </c>
      <c r="K60" s="2">
        <f t="shared" si="3"/>
        <v>339000</v>
      </c>
      <c r="L60" s="2" t="s">
        <v>305</v>
      </c>
      <c r="M60" s="2">
        <f t="shared" si="4"/>
        <v>2300000000</v>
      </c>
      <c r="N60" s="2" t="s">
        <v>204</v>
      </c>
      <c r="O60" t="s">
        <v>306</v>
      </c>
      <c r="P60" s="2">
        <f t="shared" si="5"/>
        <v>0.51208459214501512</v>
      </c>
      <c r="Q60" s="4">
        <f t="shared" si="6"/>
        <v>2.016250376166115</v>
      </c>
      <c r="R60" s="2">
        <f t="shared" si="7"/>
        <v>34.743202416918429</v>
      </c>
      <c r="S60" s="5">
        <f t="shared" si="8"/>
        <v>1.0574018126888218E-4</v>
      </c>
      <c r="T60" s="2">
        <f t="shared" si="9"/>
        <v>328571.42857142858</v>
      </c>
    </row>
    <row r="61" spans="1:20" x14ac:dyDescent="0.3">
      <c r="A61">
        <v>60</v>
      </c>
      <c r="B61" t="s">
        <v>307</v>
      </c>
      <c r="C61">
        <v>87</v>
      </c>
      <c r="D61">
        <f t="shared" si="1"/>
        <v>780</v>
      </c>
      <c r="E61" s="3" t="s">
        <v>308</v>
      </c>
      <c r="F61" s="3">
        <f t="shared" si="10"/>
        <v>65900000.000000007</v>
      </c>
      <c r="G61" s="3" t="s">
        <v>309</v>
      </c>
      <c r="H61" s="3">
        <f t="shared" si="11"/>
        <v>600400</v>
      </c>
      <c r="I61" s="2" t="s">
        <v>310</v>
      </c>
      <c r="J61" s="1">
        <v>3.0000000000000001E-3</v>
      </c>
      <c r="K61" s="2">
        <f t="shared" si="3"/>
        <v>189400</v>
      </c>
      <c r="L61" s="2" t="s">
        <v>311</v>
      </c>
      <c r="M61" s="2">
        <f t="shared" si="4"/>
        <v>470700000</v>
      </c>
      <c r="N61" s="2" t="s">
        <v>312</v>
      </c>
      <c r="O61" t="s">
        <v>23</v>
      </c>
      <c r="P61" s="2">
        <f t="shared" si="5"/>
        <v>0.28740515933232169</v>
      </c>
      <c r="Q61" s="4">
        <f t="shared" si="6"/>
        <v>-68.454363757495003</v>
      </c>
      <c r="R61" s="2">
        <f t="shared" si="7"/>
        <v>7.1426403641881633</v>
      </c>
      <c r="S61" s="5">
        <f t="shared" si="8"/>
        <v>1.1836115326251895E-5</v>
      </c>
      <c r="T61" s="2">
        <f t="shared" si="9"/>
        <v>603461.5384615385</v>
      </c>
    </row>
    <row r="62" spans="1:20" x14ac:dyDescent="0.3">
      <c r="A62">
        <v>61</v>
      </c>
      <c r="B62" t="s">
        <v>313</v>
      </c>
      <c r="C62">
        <v>77</v>
      </c>
      <c r="D62">
        <f t="shared" si="1"/>
        <v>2900</v>
      </c>
      <c r="E62" s="3" t="s">
        <v>244</v>
      </c>
      <c r="F62" s="3">
        <f t="shared" si="10"/>
        <v>65000000</v>
      </c>
      <c r="G62" s="3" t="s">
        <v>314</v>
      </c>
      <c r="H62" s="3">
        <f>IF(RIGHT(I62,1)="k", VALUE(LEFT(I62,LEN(I62)-1))*1000,
 IF(RIGHT(I62,1)="m", VALUE(LEFT(I62,LEN(I62)-1))*1000000,
 IF(RIGHT(I62,1)="b", VALUE(LEFT(I62,LEN(I62)-1))*1000000000,
 VALUE(I62))))</f>
        <v>1900000</v>
      </c>
      <c r="I62" s="2" t="s">
        <v>39</v>
      </c>
      <c r="J62" s="1">
        <v>2.1899999999999999E-2</v>
      </c>
      <c r="K62" s="2">
        <f t="shared" si="3"/>
        <v>1400000</v>
      </c>
      <c r="L62" s="2" t="s">
        <v>99</v>
      </c>
      <c r="M62" s="2">
        <f t="shared" si="4"/>
        <v>5400000000</v>
      </c>
      <c r="N62" s="2" t="s">
        <v>315</v>
      </c>
      <c r="O62" t="s">
        <v>23</v>
      </c>
      <c r="P62" s="2">
        <f t="shared" si="5"/>
        <v>2.1538461538461537</v>
      </c>
      <c r="Q62" s="4">
        <f t="shared" si="6"/>
        <v>-26.315789473684209</v>
      </c>
      <c r="R62" s="2">
        <f t="shared" si="7"/>
        <v>83.07692307692308</v>
      </c>
      <c r="S62" s="5">
        <f t="shared" si="8"/>
        <v>4.4615384615384618E-5</v>
      </c>
      <c r="T62" s="2">
        <f t="shared" si="9"/>
        <v>1862068.9655172413</v>
      </c>
    </row>
    <row r="63" spans="1:20" x14ac:dyDescent="0.3">
      <c r="A63">
        <v>62</v>
      </c>
      <c r="B63" t="s">
        <v>316</v>
      </c>
      <c r="C63">
        <v>82</v>
      </c>
      <c r="D63">
        <f t="shared" si="1"/>
        <v>1400</v>
      </c>
      <c r="E63" s="3" t="s">
        <v>102</v>
      </c>
      <c r="F63" s="3">
        <f t="shared" si="10"/>
        <v>63900000</v>
      </c>
      <c r="G63" s="3" t="s">
        <v>317</v>
      </c>
      <c r="H63" s="3">
        <f t="shared" si="11"/>
        <v>1400000</v>
      </c>
      <c r="I63" s="2" t="s">
        <v>99</v>
      </c>
      <c r="J63" s="1">
        <v>2.0000000000000001E-4</v>
      </c>
      <c r="K63" s="2">
        <f t="shared" si="3"/>
        <v>0</v>
      </c>
      <c r="L63" s="2">
        <v>0</v>
      </c>
      <c r="M63" s="2">
        <f t="shared" si="4"/>
        <v>1900000000</v>
      </c>
      <c r="N63" s="2" t="s">
        <v>226</v>
      </c>
      <c r="O63" t="s">
        <v>23</v>
      </c>
      <c r="P63" s="2">
        <f t="shared" si="5"/>
        <v>0</v>
      </c>
      <c r="Q63" s="4">
        <f t="shared" si="6"/>
        <v>-100</v>
      </c>
      <c r="R63" s="2">
        <f t="shared" si="7"/>
        <v>29.733959311424101</v>
      </c>
      <c r="S63" s="5">
        <f t="shared" si="8"/>
        <v>2.1909233176838809E-5</v>
      </c>
      <c r="T63" s="2">
        <f t="shared" si="9"/>
        <v>1357142.857142857</v>
      </c>
    </row>
    <row r="64" spans="1:20" x14ac:dyDescent="0.3">
      <c r="A64">
        <v>63</v>
      </c>
      <c r="B64" t="s">
        <v>318</v>
      </c>
      <c r="C64">
        <v>83</v>
      </c>
      <c r="D64">
        <f t="shared" si="1"/>
        <v>17500</v>
      </c>
      <c r="E64" s="3" t="s">
        <v>319</v>
      </c>
      <c r="F64" s="3">
        <f t="shared" si="10"/>
        <v>63500000</v>
      </c>
      <c r="G64" s="3" t="s">
        <v>320</v>
      </c>
      <c r="H64" s="3">
        <f t="shared" si="11"/>
        <v>386900</v>
      </c>
      <c r="I64" s="2" t="s">
        <v>321</v>
      </c>
      <c r="J64" s="1">
        <v>5.7999999999999996E-3</v>
      </c>
      <c r="K64" s="2">
        <f t="shared" si="3"/>
        <v>366600</v>
      </c>
      <c r="L64" s="2" t="s">
        <v>322</v>
      </c>
      <c r="M64" s="2">
        <f t="shared" si="4"/>
        <v>6800000000</v>
      </c>
      <c r="N64" s="2" t="s">
        <v>173</v>
      </c>
      <c r="O64" t="s">
        <v>323</v>
      </c>
      <c r="P64" s="2">
        <f t="shared" si="5"/>
        <v>0.57732283464566936</v>
      </c>
      <c r="Q64" s="4">
        <f t="shared" si="6"/>
        <v>-5.2468338071853191</v>
      </c>
      <c r="R64" s="2">
        <f t="shared" si="7"/>
        <v>107.08661417322834</v>
      </c>
      <c r="S64" s="5">
        <f t="shared" si="8"/>
        <v>2.7559055118110237E-4</v>
      </c>
      <c r="T64" s="2">
        <f t="shared" si="9"/>
        <v>388571.42857142858</v>
      </c>
    </row>
    <row r="65" spans="1:20" x14ac:dyDescent="0.3">
      <c r="A65">
        <v>64</v>
      </c>
      <c r="B65" t="s">
        <v>324</v>
      </c>
      <c r="C65">
        <v>82</v>
      </c>
      <c r="D65">
        <f t="shared" si="1"/>
        <v>5100</v>
      </c>
      <c r="E65" s="3" t="s">
        <v>325</v>
      </c>
      <c r="F65" s="3">
        <f t="shared" si="10"/>
        <v>63100000</v>
      </c>
      <c r="G65" s="3" t="s">
        <v>326</v>
      </c>
      <c r="H65" s="3">
        <f t="shared" si="11"/>
        <v>855500</v>
      </c>
      <c r="I65" s="2" t="s">
        <v>327</v>
      </c>
      <c r="J65" s="1">
        <v>6.8999999999999999E-3</v>
      </c>
      <c r="K65" s="2">
        <f t="shared" si="3"/>
        <v>426200</v>
      </c>
      <c r="L65" s="2" t="s">
        <v>328</v>
      </c>
      <c r="M65" s="2">
        <f t="shared" si="4"/>
        <v>4400000000</v>
      </c>
      <c r="N65" s="2" t="s">
        <v>271</v>
      </c>
      <c r="O65" t="s">
        <v>23</v>
      </c>
      <c r="P65" s="2">
        <f t="shared" si="5"/>
        <v>0.67543581616481774</v>
      </c>
      <c r="Q65" s="4">
        <f t="shared" si="6"/>
        <v>-50.181180596142603</v>
      </c>
      <c r="R65" s="2">
        <f t="shared" si="7"/>
        <v>69.73058637083993</v>
      </c>
      <c r="S65" s="5">
        <f t="shared" si="8"/>
        <v>8.0824088748019022E-5</v>
      </c>
      <c r="T65" s="2">
        <f t="shared" si="9"/>
        <v>862745.09803921566</v>
      </c>
    </row>
    <row r="66" spans="1:20" x14ac:dyDescent="0.3">
      <c r="A66">
        <v>65</v>
      </c>
      <c r="B66" t="s">
        <v>329</v>
      </c>
      <c r="C66">
        <v>82</v>
      </c>
      <c r="D66">
        <f t="shared" si="1"/>
        <v>830</v>
      </c>
      <c r="E66" s="3" t="s">
        <v>330</v>
      </c>
      <c r="F66" s="3">
        <f t="shared" ref="F66:F97" si="12">IF(RIGHT(G66,1)="m",VALUE(LEFT(G66,LEN(G66)-1))*1000000)</f>
        <v>62900000</v>
      </c>
      <c r="G66" s="3" t="s">
        <v>331</v>
      </c>
      <c r="H66" s="3">
        <f t="shared" si="11"/>
        <v>4500000</v>
      </c>
      <c r="I66" s="2" t="s">
        <v>332</v>
      </c>
      <c r="J66" s="1">
        <v>9.4299999999999995E-2</v>
      </c>
      <c r="K66" s="2">
        <f t="shared" si="3"/>
        <v>5900000</v>
      </c>
      <c r="L66" s="2" t="s">
        <v>21</v>
      </c>
      <c r="M66" s="2">
        <f t="shared" si="4"/>
        <v>3800000000</v>
      </c>
      <c r="N66" s="2" t="s">
        <v>333</v>
      </c>
      <c r="O66" t="s">
        <v>891</v>
      </c>
      <c r="P66" s="2">
        <f t="shared" si="5"/>
        <v>9.3799682034976151</v>
      </c>
      <c r="Q66" s="4">
        <f t="shared" si="6"/>
        <v>31.111111111111111</v>
      </c>
      <c r="R66" s="2">
        <f t="shared" si="7"/>
        <v>60.413354531001588</v>
      </c>
      <c r="S66" s="5">
        <f t="shared" si="8"/>
        <v>1.3195548489666137E-5</v>
      </c>
      <c r="T66" s="2">
        <f t="shared" si="9"/>
        <v>4578313.2530120481</v>
      </c>
    </row>
    <row r="67" spans="1:20" x14ac:dyDescent="0.3">
      <c r="A67">
        <v>66</v>
      </c>
      <c r="B67" t="s">
        <v>334</v>
      </c>
      <c r="C67">
        <v>84</v>
      </c>
      <c r="D67">
        <f t="shared" ref="D67:D130" si="13">IF(RIGHT(E67,1)="k",VALUE(LEFT(E67,LEN(E67)-1))*1000)</f>
        <v>8200</v>
      </c>
      <c r="E67" s="3" t="s">
        <v>134</v>
      </c>
      <c r="F67" s="3">
        <f t="shared" si="12"/>
        <v>62800000</v>
      </c>
      <c r="G67" s="3" t="s">
        <v>335</v>
      </c>
      <c r="H67" s="3">
        <f t="shared" si="11"/>
        <v>1200000</v>
      </c>
      <c r="I67" s="2" t="s">
        <v>163</v>
      </c>
      <c r="J67" s="1">
        <v>1.12E-2</v>
      </c>
      <c r="K67" s="2">
        <f t="shared" ref="K67:K130" si="14">IF(RIGHT(L67,1)="k", VALUE(LEFT(L67,LEN(L67)-1))*1000,
 IF(RIGHT(L67,1)="m", VALUE(LEFT(L67,LEN(L67)-1))*1000000,
 IF(RIGHT(L67,1)="b", VALUE(LEFT(L67,LEN(L67)-1))*1000000000,
 VALUE(L67))))</f>
        <v>696300</v>
      </c>
      <c r="L67" s="2" t="s">
        <v>336</v>
      </c>
      <c r="M67" s="2">
        <f t="shared" ref="M67:M130" si="15">IF(RIGHT(N67,1)="k", VALUE(LEFT(N67,LEN(N67)-1))*1000,
 IF(RIGHT(N67,1)="m", VALUE(LEFT(N67,LEN(N67)-1))*1000000,
 IF(RIGHT(N67,1)="b", VALUE(LEFT(N67,LEN(N67)-1))*1000000000,
 VALUE(N67))))</f>
        <v>9800000000</v>
      </c>
      <c r="N67" s="2" t="s">
        <v>65</v>
      </c>
      <c r="O67" t="s">
        <v>337</v>
      </c>
      <c r="P67" s="2">
        <f t="shared" ref="P67:P130" si="16">(K67 / F67) * 100</f>
        <v>1.1087579617834395</v>
      </c>
      <c r="Q67" s="4">
        <f t="shared" ref="Q67:Q130" si="17">((K67 - H67) / H67) * 100</f>
        <v>-41.975000000000001</v>
      </c>
      <c r="R67" s="2">
        <f t="shared" ref="R67:R130" si="18">M67 / F67</f>
        <v>156.05095541401275</v>
      </c>
      <c r="S67" s="5">
        <f t="shared" ref="S67:S130" si="19">D67 / F67</f>
        <v>1.3057324840764332E-4</v>
      </c>
      <c r="T67" s="2">
        <f t="shared" ref="T67:T130" si="20">M67 / D67</f>
        <v>1195121.9512195121</v>
      </c>
    </row>
    <row r="68" spans="1:20" x14ac:dyDescent="0.3">
      <c r="A68">
        <v>67</v>
      </c>
      <c r="B68" t="s">
        <v>338</v>
      </c>
      <c r="C68">
        <v>85</v>
      </c>
      <c r="D68">
        <f t="shared" si="13"/>
        <v>1900</v>
      </c>
      <c r="E68" s="3" t="s">
        <v>240</v>
      </c>
      <c r="F68" s="3">
        <f t="shared" si="12"/>
        <v>62800000</v>
      </c>
      <c r="G68" s="3" t="s">
        <v>335</v>
      </c>
      <c r="H68" s="3">
        <f t="shared" si="11"/>
        <v>1500000</v>
      </c>
      <c r="I68" s="2" t="s">
        <v>69</v>
      </c>
      <c r="J68" s="1">
        <v>1.01E-2</v>
      </c>
      <c r="K68" s="2">
        <f t="shared" si="14"/>
        <v>624900</v>
      </c>
      <c r="L68" s="2" t="s">
        <v>339</v>
      </c>
      <c r="M68" s="2">
        <f t="shared" si="15"/>
        <v>2900000000</v>
      </c>
      <c r="N68" s="2" t="s">
        <v>340</v>
      </c>
      <c r="O68" t="s">
        <v>891</v>
      </c>
      <c r="P68" s="2">
        <f t="shared" si="16"/>
        <v>0.99506369426751595</v>
      </c>
      <c r="Q68" s="4">
        <f t="shared" si="17"/>
        <v>-58.34</v>
      </c>
      <c r="R68" s="2">
        <f t="shared" si="18"/>
        <v>46.178343949044589</v>
      </c>
      <c r="S68" s="5">
        <f t="shared" si="19"/>
        <v>3.0254777070063693E-5</v>
      </c>
      <c r="T68" s="2">
        <f t="shared" si="20"/>
        <v>1526315.7894736843</v>
      </c>
    </row>
    <row r="69" spans="1:20" x14ac:dyDescent="0.3">
      <c r="A69">
        <v>68</v>
      </c>
      <c r="B69" t="s">
        <v>341</v>
      </c>
      <c r="C69">
        <v>85</v>
      </c>
      <c r="D69">
        <f t="shared" si="13"/>
        <v>2400</v>
      </c>
      <c r="E69" s="3" t="s">
        <v>342</v>
      </c>
      <c r="F69" s="3">
        <f t="shared" si="12"/>
        <v>62700000</v>
      </c>
      <c r="G69" s="3" t="s">
        <v>343</v>
      </c>
      <c r="H69" s="3">
        <f t="shared" si="11"/>
        <v>1100000</v>
      </c>
      <c r="I69" s="2" t="s">
        <v>153</v>
      </c>
      <c r="J69" s="1">
        <v>1.15E-2</v>
      </c>
      <c r="K69" s="2">
        <f t="shared" si="14"/>
        <v>718800</v>
      </c>
      <c r="L69" s="2" t="s">
        <v>344</v>
      </c>
      <c r="M69" s="2">
        <f t="shared" si="15"/>
        <v>2800000000</v>
      </c>
      <c r="N69" s="2" t="s">
        <v>251</v>
      </c>
      <c r="O69" t="s">
        <v>256</v>
      </c>
      <c r="P69" s="2">
        <f t="shared" si="16"/>
        <v>1.1464114832535885</v>
      </c>
      <c r="Q69" s="4">
        <f t="shared" si="17"/>
        <v>-34.654545454545456</v>
      </c>
      <c r="R69" s="2">
        <f t="shared" si="18"/>
        <v>44.657097288676233</v>
      </c>
      <c r="S69" s="5">
        <f t="shared" si="19"/>
        <v>3.8277511961722486E-5</v>
      </c>
      <c r="T69" s="2">
        <f t="shared" si="20"/>
        <v>1166666.6666666667</v>
      </c>
    </row>
    <row r="70" spans="1:20" x14ac:dyDescent="0.3">
      <c r="A70">
        <v>69</v>
      </c>
      <c r="B70" t="s">
        <v>345</v>
      </c>
      <c r="C70">
        <v>86</v>
      </c>
      <c r="D70">
        <f t="shared" si="13"/>
        <v>10000</v>
      </c>
      <c r="E70" s="3" t="s">
        <v>79</v>
      </c>
      <c r="F70" s="3">
        <f t="shared" si="12"/>
        <v>61900000</v>
      </c>
      <c r="G70" s="3" t="s">
        <v>346</v>
      </c>
      <c r="H70" s="3">
        <f t="shared" si="11"/>
        <v>500500</v>
      </c>
      <c r="I70" s="2" t="s">
        <v>347</v>
      </c>
      <c r="J70" s="1">
        <v>5.1999999999999998E-3</v>
      </c>
      <c r="K70" s="2">
        <f t="shared" si="14"/>
        <v>322200</v>
      </c>
      <c r="L70" s="2" t="s">
        <v>348</v>
      </c>
      <c r="M70" s="2">
        <f t="shared" si="15"/>
        <v>5000000000</v>
      </c>
      <c r="N70" s="2" t="s">
        <v>149</v>
      </c>
      <c r="O70" t="s">
        <v>349</v>
      </c>
      <c r="P70" s="2">
        <f t="shared" si="16"/>
        <v>0.52051696284329563</v>
      </c>
      <c r="Q70" s="4">
        <f t="shared" si="17"/>
        <v>-35.624375624375624</v>
      </c>
      <c r="R70" s="2">
        <f t="shared" si="18"/>
        <v>80.775444264943459</v>
      </c>
      <c r="S70" s="5">
        <f t="shared" si="19"/>
        <v>1.6155088852988692E-4</v>
      </c>
      <c r="T70" s="2">
        <f t="shared" si="20"/>
        <v>500000</v>
      </c>
    </row>
    <row r="71" spans="1:20" x14ac:dyDescent="0.3">
      <c r="A71">
        <v>70</v>
      </c>
      <c r="B71" t="s">
        <v>350</v>
      </c>
      <c r="C71">
        <v>82</v>
      </c>
      <c r="D71">
        <f t="shared" si="13"/>
        <v>820</v>
      </c>
      <c r="E71" s="3" t="s">
        <v>351</v>
      </c>
      <c r="F71" s="3">
        <f t="shared" si="12"/>
        <v>61800000</v>
      </c>
      <c r="G71" s="3" t="s">
        <v>352</v>
      </c>
      <c r="H71" s="3">
        <f t="shared" si="11"/>
        <v>4600000</v>
      </c>
      <c r="I71" s="2" t="s">
        <v>353</v>
      </c>
      <c r="J71" s="1">
        <v>9.7199999999999995E-2</v>
      </c>
      <c r="K71" s="2">
        <f t="shared" si="14"/>
        <v>6000000</v>
      </c>
      <c r="L71" s="2" t="s">
        <v>354</v>
      </c>
      <c r="M71" s="2">
        <f t="shared" si="15"/>
        <v>3800000000</v>
      </c>
      <c r="N71" s="2" t="s">
        <v>333</v>
      </c>
      <c r="O71" t="s">
        <v>891</v>
      </c>
      <c r="P71" s="2">
        <f t="shared" si="16"/>
        <v>9.7087378640776691</v>
      </c>
      <c r="Q71" s="4">
        <f t="shared" si="17"/>
        <v>30.434782608695656</v>
      </c>
      <c r="R71" s="2">
        <f t="shared" si="18"/>
        <v>61.488673139158578</v>
      </c>
      <c r="S71" s="5">
        <f t="shared" si="19"/>
        <v>1.3268608414239483E-5</v>
      </c>
      <c r="T71" s="2">
        <f t="shared" si="20"/>
        <v>4634146.341463415</v>
      </c>
    </row>
    <row r="72" spans="1:20" x14ac:dyDescent="0.3">
      <c r="A72">
        <v>71</v>
      </c>
      <c r="B72" t="s">
        <v>355</v>
      </c>
      <c r="C72">
        <v>85</v>
      </c>
      <c r="D72">
        <f t="shared" si="13"/>
        <v>9900</v>
      </c>
      <c r="E72" s="3" t="s">
        <v>356</v>
      </c>
      <c r="F72" s="3">
        <f t="shared" si="12"/>
        <v>59600000</v>
      </c>
      <c r="G72" s="3" t="s">
        <v>357</v>
      </c>
      <c r="H72" s="3">
        <f t="shared" si="11"/>
        <v>381800</v>
      </c>
      <c r="I72" s="2" t="s">
        <v>358</v>
      </c>
      <c r="J72" s="1">
        <v>4.1000000000000003E-3</v>
      </c>
      <c r="K72" s="2">
        <f t="shared" si="14"/>
        <v>241600</v>
      </c>
      <c r="L72" s="2" t="s">
        <v>359</v>
      </c>
      <c r="M72" s="2">
        <f t="shared" si="15"/>
        <v>3800000000</v>
      </c>
      <c r="N72" s="2" t="s">
        <v>333</v>
      </c>
      <c r="O72" t="s">
        <v>199</v>
      </c>
      <c r="P72" s="2">
        <f t="shared" si="16"/>
        <v>0.4053691275167785</v>
      </c>
      <c r="Q72" s="4">
        <f t="shared" si="17"/>
        <v>-36.720796228391826</v>
      </c>
      <c r="R72" s="2">
        <f t="shared" si="18"/>
        <v>63.758389261744966</v>
      </c>
      <c r="S72" s="5">
        <f t="shared" si="19"/>
        <v>1.6610738255033557E-4</v>
      </c>
      <c r="T72" s="2">
        <f t="shared" si="20"/>
        <v>383838.38383838383</v>
      </c>
    </row>
    <row r="73" spans="1:20" x14ac:dyDescent="0.3">
      <c r="A73">
        <v>72</v>
      </c>
      <c r="B73" t="s">
        <v>360</v>
      </c>
      <c r="C73">
        <v>85</v>
      </c>
      <c r="D73">
        <f t="shared" si="13"/>
        <v>1200</v>
      </c>
      <c r="E73" s="3" t="s">
        <v>118</v>
      </c>
      <c r="F73" s="3">
        <f t="shared" si="12"/>
        <v>59500000</v>
      </c>
      <c r="G73" s="3" t="s">
        <v>361</v>
      </c>
      <c r="H73" s="3">
        <f t="shared" si="11"/>
        <v>1900000</v>
      </c>
      <c r="I73" s="2" t="s">
        <v>39</v>
      </c>
      <c r="J73" s="1">
        <v>2.3400000000000001E-2</v>
      </c>
      <c r="K73" s="2">
        <f t="shared" si="14"/>
        <v>1400000</v>
      </c>
      <c r="L73" s="2" t="s">
        <v>99</v>
      </c>
      <c r="M73" s="2">
        <f t="shared" si="15"/>
        <v>2200000000</v>
      </c>
      <c r="N73" s="2" t="s">
        <v>362</v>
      </c>
      <c r="O73" t="s">
        <v>891</v>
      </c>
      <c r="P73" s="2">
        <f t="shared" si="16"/>
        <v>2.3529411764705883</v>
      </c>
      <c r="Q73" s="4">
        <f t="shared" si="17"/>
        <v>-26.315789473684209</v>
      </c>
      <c r="R73" s="2">
        <f t="shared" si="18"/>
        <v>36.974789915966383</v>
      </c>
      <c r="S73" s="5">
        <f t="shared" si="19"/>
        <v>2.0168067226890756E-5</v>
      </c>
      <c r="T73" s="2">
        <f t="shared" si="20"/>
        <v>1833333.3333333333</v>
      </c>
    </row>
    <row r="74" spans="1:20" x14ac:dyDescent="0.3">
      <c r="A74">
        <v>73</v>
      </c>
      <c r="B74" t="s">
        <v>363</v>
      </c>
      <c r="C74">
        <v>79</v>
      </c>
      <c r="D74">
        <f t="shared" si="13"/>
        <v>2700</v>
      </c>
      <c r="E74" s="3" t="s">
        <v>364</v>
      </c>
      <c r="F74" s="3">
        <f t="shared" si="12"/>
        <v>58700000</v>
      </c>
      <c r="G74" s="3" t="s">
        <v>365</v>
      </c>
      <c r="H74" s="3">
        <f t="shared" si="11"/>
        <v>1600000</v>
      </c>
      <c r="I74" s="2" t="s">
        <v>214</v>
      </c>
      <c r="J74" s="1">
        <v>5.7999999999999996E-3</v>
      </c>
      <c r="K74" s="2">
        <f t="shared" si="14"/>
        <v>323100</v>
      </c>
      <c r="L74" s="2" t="s">
        <v>366</v>
      </c>
      <c r="M74" s="2">
        <f t="shared" si="15"/>
        <v>4400000000</v>
      </c>
      <c r="N74" s="2" t="s">
        <v>271</v>
      </c>
      <c r="O74" t="s">
        <v>127</v>
      </c>
      <c r="P74" s="2">
        <f t="shared" si="16"/>
        <v>0.55042589437819422</v>
      </c>
      <c r="Q74" s="4">
        <f t="shared" si="17"/>
        <v>-79.806250000000006</v>
      </c>
      <c r="R74" s="2">
        <f t="shared" si="18"/>
        <v>74.957410562180584</v>
      </c>
      <c r="S74" s="5">
        <f t="shared" si="19"/>
        <v>4.5996592844974445E-5</v>
      </c>
      <c r="T74" s="2">
        <f t="shared" si="20"/>
        <v>1629629.6296296297</v>
      </c>
    </row>
    <row r="75" spans="1:20" x14ac:dyDescent="0.3">
      <c r="A75">
        <v>74</v>
      </c>
      <c r="B75" t="s">
        <v>367</v>
      </c>
      <c r="C75">
        <v>86</v>
      </c>
      <c r="D75">
        <f t="shared" si="13"/>
        <v>10000</v>
      </c>
      <c r="E75" s="3" t="s">
        <v>79</v>
      </c>
      <c r="F75" s="3">
        <f t="shared" si="12"/>
        <v>58100000</v>
      </c>
      <c r="G75" s="3" t="s">
        <v>368</v>
      </c>
      <c r="H75" s="3">
        <f t="shared" si="11"/>
        <v>672600</v>
      </c>
      <c r="I75" s="2" t="s">
        <v>369</v>
      </c>
      <c r="J75" s="1">
        <v>4.4000000000000003E-3</v>
      </c>
      <c r="K75" s="2">
        <f t="shared" si="14"/>
        <v>248600</v>
      </c>
      <c r="L75" s="2" t="s">
        <v>370</v>
      </c>
      <c r="M75" s="2">
        <f t="shared" si="15"/>
        <v>6700000000</v>
      </c>
      <c r="N75" s="2" t="s">
        <v>371</v>
      </c>
      <c r="O75" t="s">
        <v>23</v>
      </c>
      <c r="P75" s="2">
        <f t="shared" si="16"/>
        <v>0.42788296041308094</v>
      </c>
      <c r="Q75" s="4">
        <f t="shared" si="17"/>
        <v>-63.038953315492122</v>
      </c>
      <c r="R75" s="2">
        <f t="shared" si="18"/>
        <v>115.3184165232358</v>
      </c>
      <c r="S75" s="5">
        <f t="shared" si="19"/>
        <v>1.7211703958691912E-4</v>
      </c>
      <c r="T75" s="2">
        <f t="shared" si="20"/>
        <v>670000</v>
      </c>
    </row>
    <row r="76" spans="1:20" x14ac:dyDescent="0.3">
      <c r="A76">
        <v>75</v>
      </c>
      <c r="B76" t="s">
        <v>372</v>
      </c>
      <c r="C76">
        <v>86</v>
      </c>
      <c r="D76">
        <f t="shared" si="13"/>
        <v>2700</v>
      </c>
      <c r="E76" s="3" t="s">
        <v>364</v>
      </c>
      <c r="F76" s="3">
        <f t="shared" si="12"/>
        <v>58100000</v>
      </c>
      <c r="G76" s="3" t="s">
        <v>368</v>
      </c>
      <c r="H76" s="3">
        <f t="shared" si="11"/>
        <v>690900</v>
      </c>
      <c r="I76" s="2" t="s">
        <v>373</v>
      </c>
      <c r="J76" s="1">
        <v>7.7999999999999996E-3</v>
      </c>
      <c r="K76" s="2">
        <f t="shared" si="14"/>
        <v>448300</v>
      </c>
      <c r="L76" s="2" t="s">
        <v>374</v>
      </c>
      <c r="M76" s="2">
        <f t="shared" si="15"/>
        <v>1900000000</v>
      </c>
      <c r="N76" s="2" t="s">
        <v>226</v>
      </c>
      <c r="O76" t="s">
        <v>127</v>
      </c>
      <c r="P76" s="2">
        <f t="shared" si="16"/>
        <v>0.77160068846815832</v>
      </c>
      <c r="Q76" s="4">
        <f t="shared" si="17"/>
        <v>-35.113619916051526</v>
      </c>
      <c r="R76" s="2">
        <f t="shared" si="18"/>
        <v>32.702237521514633</v>
      </c>
      <c r="S76" s="5">
        <f t="shared" si="19"/>
        <v>4.647160068846816E-5</v>
      </c>
      <c r="T76" s="2">
        <f t="shared" si="20"/>
        <v>703703.70370370371</v>
      </c>
    </row>
    <row r="77" spans="1:20" x14ac:dyDescent="0.3">
      <c r="A77">
        <v>76</v>
      </c>
      <c r="B77" t="s">
        <v>375</v>
      </c>
      <c r="C77">
        <v>80</v>
      </c>
      <c r="D77">
        <f t="shared" si="13"/>
        <v>280</v>
      </c>
      <c r="E77" s="3" t="s">
        <v>376</v>
      </c>
      <c r="F77" s="3">
        <f t="shared" si="12"/>
        <v>57600000</v>
      </c>
      <c r="G77" s="3" t="s">
        <v>377</v>
      </c>
      <c r="H77" s="3">
        <f t="shared" si="11"/>
        <v>4000000</v>
      </c>
      <c r="I77" s="2" t="s">
        <v>378</v>
      </c>
      <c r="J77" s="1">
        <v>8.6300000000000002E-2</v>
      </c>
      <c r="K77" s="2">
        <f t="shared" si="14"/>
        <v>5000000</v>
      </c>
      <c r="L77" s="2" t="s">
        <v>379</v>
      </c>
      <c r="M77" s="2">
        <f t="shared" si="15"/>
        <v>1100000000</v>
      </c>
      <c r="N77" s="2" t="s">
        <v>380</v>
      </c>
      <c r="O77" t="s">
        <v>23</v>
      </c>
      <c r="P77" s="2">
        <f t="shared" si="16"/>
        <v>8.6805555555555554</v>
      </c>
      <c r="Q77" s="4">
        <f t="shared" si="17"/>
        <v>25</v>
      </c>
      <c r="R77" s="2">
        <f t="shared" si="18"/>
        <v>19.097222222222221</v>
      </c>
      <c r="S77" s="5">
        <f t="shared" si="19"/>
        <v>4.8611111111111113E-6</v>
      </c>
      <c r="T77" s="2">
        <f t="shared" si="20"/>
        <v>3928571.4285714286</v>
      </c>
    </row>
    <row r="78" spans="1:20" x14ac:dyDescent="0.3">
      <c r="A78">
        <v>77</v>
      </c>
      <c r="B78" t="s">
        <v>381</v>
      </c>
      <c r="C78">
        <v>42</v>
      </c>
      <c r="D78">
        <f t="shared" si="13"/>
        <v>2000</v>
      </c>
      <c r="E78" s="3" t="s">
        <v>55</v>
      </c>
      <c r="F78" s="3">
        <f t="shared" si="12"/>
        <v>56900000</v>
      </c>
      <c r="G78" s="3" t="s">
        <v>382</v>
      </c>
      <c r="H78" s="3">
        <f t="shared" si="11"/>
        <v>878500</v>
      </c>
      <c r="I78" s="2" t="s">
        <v>383</v>
      </c>
      <c r="J78" s="1">
        <v>1.6199999999999999E-2</v>
      </c>
      <c r="K78" s="2">
        <f t="shared" si="14"/>
        <v>918900</v>
      </c>
      <c r="L78" s="2" t="s">
        <v>384</v>
      </c>
      <c r="M78" s="2">
        <f t="shared" si="15"/>
        <v>1800000000</v>
      </c>
      <c r="N78" s="2" t="s">
        <v>385</v>
      </c>
      <c r="O78" t="s">
        <v>16</v>
      </c>
      <c r="P78" s="2">
        <f t="shared" si="16"/>
        <v>1.6149384885764499</v>
      </c>
      <c r="Q78" s="4">
        <f t="shared" si="17"/>
        <v>4.5987478656801368</v>
      </c>
      <c r="R78" s="2">
        <f t="shared" si="18"/>
        <v>31.63444639718805</v>
      </c>
      <c r="S78" s="5">
        <f t="shared" si="19"/>
        <v>3.51493848857645E-5</v>
      </c>
      <c r="T78" s="2">
        <f t="shared" si="20"/>
        <v>900000</v>
      </c>
    </row>
    <row r="79" spans="1:20" x14ac:dyDescent="0.3">
      <c r="A79">
        <v>78</v>
      </c>
      <c r="B79" t="s">
        <v>386</v>
      </c>
      <c r="C79">
        <v>86</v>
      </c>
      <c r="D79">
        <f t="shared" si="13"/>
        <v>880</v>
      </c>
      <c r="E79" s="3" t="s">
        <v>387</v>
      </c>
      <c r="F79" s="3">
        <f t="shared" si="12"/>
        <v>55900000</v>
      </c>
      <c r="G79" s="3" t="s">
        <v>388</v>
      </c>
      <c r="H79" s="3">
        <f t="shared" si="11"/>
        <v>2800000</v>
      </c>
      <c r="I79" s="2" t="s">
        <v>389</v>
      </c>
      <c r="J79" s="1">
        <v>3.6900000000000002E-2</v>
      </c>
      <c r="K79" s="2">
        <f t="shared" si="14"/>
        <v>2100000</v>
      </c>
      <c r="L79" s="2" t="s">
        <v>108</v>
      </c>
      <c r="M79" s="2">
        <f t="shared" si="15"/>
        <v>2500000000</v>
      </c>
      <c r="N79" s="2" t="s">
        <v>208</v>
      </c>
      <c r="O79" t="s">
        <v>390</v>
      </c>
      <c r="P79" s="2">
        <f t="shared" si="16"/>
        <v>3.7567084078711988</v>
      </c>
      <c r="Q79" s="4">
        <f t="shared" si="17"/>
        <v>-25</v>
      </c>
      <c r="R79" s="2">
        <f t="shared" si="18"/>
        <v>44.722719141323793</v>
      </c>
      <c r="S79" s="5">
        <f t="shared" si="19"/>
        <v>1.5742397137745974E-5</v>
      </c>
      <c r="T79" s="2">
        <f t="shared" si="20"/>
        <v>2840909.0909090908</v>
      </c>
    </row>
    <row r="80" spans="1:20" x14ac:dyDescent="0.3">
      <c r="A80">
        <v>79</v>
      </c>
      <c r="B80" t="s">
        <v>391</v>
      </c>
      <c r="C80">
        <v>83</v>
      </c>
      <c r="D80">
        <f t="shared" si="13"/>
        <v>3300</v>
      </c>
      <c r="E80" s="3" t="s">
        <v>11</v>
      </c>
      <c r="F80" s="3">
        <f t="shared" si="12"/>
        <v>55600000</v>
      </c>
      <c r="G80" s="3" t="s">
        <v>392</v>
      </c>
      <c r="H80" s="3">
        <f t="shared" si="11"/>
        <v>3100000</v>
      </c>
      <c r="I80" s="2" t="s">
        <v>148</v>
      </c>
      <c r="J80" s="1">
        <v>0.10249999999999999</v>
      </c>
      <c r="K80" s="2">
        <f t="shared" si="14"/>
        <v>5700000</v>
      </c>
      <c r="L80" s="2" t="s">
        <v>270</v>
      </c>
      <c r="M80" s="2">
        <f t="shared" si="15"/>
        <v>10100000000</v>
      </c>
      <c r="N80" s="2" t="s">
        <v>393</v>
      </c>
      <c r="O80" t="s">
        <v>256</v>
      </c>
      <c r="P80" s="2">
        <f t="shared" si="16"/>
        <v>10.251798561151078</v>
      </c>
      <c r="Q80" s="4">
        <f t="shared" si="17"/>
        <v>83.870967741935488</v>
      </c>
      <c r="R80" s="2">
        <f t="shared" si="18"/>
        <v>181.65467625899279</v>
      </c>
      <c r="S80" s="5">
        <f t="shared" si="19"/>
        <v>5.9352517985611513E-5</v>
      </c>
      <c r="T80" s="2">
        <f t="shared" si="20"/>
        <v>3060606.0606060605</v>
      </c>
    </row>
    <row r="81" spans="1:20" x14ac:dyDescent="0.3">
      <c r="A81">
        <v>80</v>
      </c>
      <c r="B81" t="s">
        <v>394</v>
      </c>
      <c r="C81">
        <v>80</v>
      </c>
      <c r="D81">
        <f t="shared" si="13"/>
        <v>1300</v>
      </c>
      <c r="E81" s="3" t="s">
        <v>196</v>
      </c>
      <c r="F81" s="3">
        <f t="shared" si="12"/>
        <v>55200000</v>
      </c>
      <c r="G81" s="3" t="s">
        <v>395</v>
      </c>
      <c r="H81" s="3">
        <f t="shared" si="11"/>
        <v>1400000</v>
      </c>
      <c r="I81" s="2" t="s">
        <v>99</v>
      </c>
      <c r="J81" s="1">
        <v>8.5000000000000006E-3</v>
      </c>
      <c r="K81" s="2">
        <f t="shared" si="14"/>
        <v>462600</v>
      </c>
      <c r="L81" s="2" t="s">
        <v>396</v>
      </c>
      <c r="M81" s="2">
        <f t="shared" si="15"/>
        <v>1800000000</v>
      </c>
      <c r="N81" s="2" t="s">
        <v>385</v>
      </c>
      <c r="O81" t="s">
        <v>349</v>
      </c>
      <c r="P81" s="2">
        <f t="shared" si="16"/>
        <v>0.83804347826086956</v>
      </c>
      <c r="Q81" s="4">
        <f t="shared" si="17"/>
        <v>-66.957142857142856</v>
      </c>
      <c r="R81" s="2">
        <f t="shared" si="18"/>
        <v>32.608695652173914</v>
      </c>
      <c r="S81" s="5">
        <f t="shared" si="19"/>
        <v>2.3550724637681158E-5</v>
      </c>
      <c r="T81" s="2">
        <f t="shared" si="20"/>
        <v>1384615.3846153845</v>
      </c>
    </row>
    <row r="82" spans="1:20" x14ac:dyDescent="0.3">
      <c r="A82">
        <v>81</v>
      </c>
      <c r="B82" t="s">
        <v>397</v>
      </c>
      <c r="C82">
        <v>86</v>
      </c>
      <c r="D82">
        <f t="shared" si="13"/>
        <v>870</v>
      </c>
      <c r="E82" s="3" t="s">
        <v>218</v>
      </c>
      <c r="F82" s="3">
        <f t="shared" si="12"/>
        <v>55100000</v>
      </c>
      <c r="G82" s="3" t="s">
        <v>398</v>
      </c>
      <c r="H82" s="3">
        <f t="shared" si="11"/>
        <v>1500000</v>
      </c>
      <c r="I82" s="2" t="s">
        <v>69</v>
      </c>
      <c r="J82" s="1">
        <v>1.5299999999999999E-2</v>
      </c>
      <c r="K82" s="2">
        <f t="shared" si="14"/>
        <v>837100</v>
      </c>
      <c r="L82" s="2" t="s">
        <v>399</v>
      </c>
      <c r="M82" s="2">
        <f t="shared" si="15"/>
        <v>1300000000</v>
      </c>
      <c r="N82" s="2" t="s">
        <v>94</v>
      </c>
      <c r="O82" t="s">
        <v>891</v>
      </c>
      <c r="P82" s="2">
        <f t="shared" si="16"/>
        <v>1.5192377495462797</v>
      </c>
      <c r="Q82" s="4">
        <f t="shared" si="17"/>
        <v>-44.193333333333335</v>
      </c>
      <c r="R82" s="2">
        <f t="shared" si="18"/>
        <v>23.593466424682397</v>
      </c>
      <c r="S82" s="5">
        <f t="shared" si="19"/>
        <v>1.5789473684210526E-5</v>
      </c>
      <c r="T82" s="2">
        <f t="shared" si="20"/>
        <v>1494252.8735632184</v>
      </c>
    </row>
    <row r="83" spans="1:20" x14ac:dyDescent="0.3">
      <c r="A83">
        <v>82</v>
      </c>
      <c r="B83" t="s">
        <v>400</v>
      </c>
      <c r="C83">
        <v>86</v>
      </c>
      <c r="D83">
        <f t="shared" si="13"/>
        <v>1700</v>
      </c>
      <c r="E83" s="3" t="s">
        <v>201</v>
      </c>
      <c r="F83" s="3">
        <f t="shared" si="12"/>
        <v>54600000</v>
      </c>
      <c r="G83" s="3" t="s">
        <v>401</v>
      </c>
      <c r="H83" s="3">
        <f t="shared" si="11"/>
        <v>395500</v>
      </c>
      <c r="I83" s="2" t="s">
        <v>402</v>
      </c>
      <c r="J83" s="1">
        <v>2E-3</v>
      </c>
      <c r="K83" s="2">
        <f t="shared" si="14"/>
        <v>107600</v>
      </c>
      <c r="L83" s="2" t="s">
        <v>403</v>
      </c>
      <c r="M83" s="2">
        <f t="shared" si="15"/>
        <v>669300000</v>
      </c>
      <c r="N83" s="2" t="s">
        <v>404</v>
      </c>
      <c r="O83" t="s">
        <v>891</v>
      </c>
      <c r="P83" s="2">
        <f t="shared" si="16"/>
        <v>0.19706959706959709</v>
      </c>
      <c r="Q83" s="4">
        <f t="shared" si="17"/>
        <v>-72.793931731984827</v>
      </c>
      <c r="R83" s="2">
        <f t="shared" si="18"/>
        <v>12.258241758241759</v>
      </c>
      <c r="S83" s="5">
        <f t="shared" si="19"/>
        <v>3.1135531135531138E-5</v>
      </c>
      <c r="T83" s="2">
        <f t="shared" si="20"/>
        <v>393705.8823529412</v>
      </c>
    </row>
    <row r="84" spans="1:20" x14ac:dyDescent="0.3">
      <c r="A84">
        <v>83</v>
      </c>
      <c r="B84" t="s">
        <v>405</v>
      </c>
      <c r="C84">
        <v>87</v>
      </c>
      <c r="D84">
        <f t="shared" si="13"/>
        <v>10000</v>
      </c>
      <c r="E84" s="3" t="s">
        <v>79</v>
      </c>
      <c r="F84" s="3">
        <f t="shared" si="12"/>
        <v>54500000</v>
      </c>
      <c r="G84" s="3" t="s">
        <v>406</v>
      </c>
      <c r="H84" s="3">
        <f t="shared" si="11"/>
        <v>194800</v>
      </c>
      <c r="I84" s="2" t="s">
        <v>407</v>
      </c>
      <c r="J84" s="1">
        <v>2.5000000000000001E-3</v>
      </c>
      <c r="K84" s="2">
        <f t="shared" si="14"/>
        <v>135500</v>
      </c>
      <c r="L84" s="2" t="s">
        <v>408</v>
      </c>
      <c r="M84" s="2">
        <f t="shared" si="15"/>
        <v>1900000000</v>
      </c>
      <c r="N84" s="2" t="s">
        <v>226</v>
      </c>
      <c r="O84" t="s">
        <v>891</v>
      </c>
      <c r="P84" s="2">
        <f t="shared" si="16"/>
        <v>0.24862385321100916</v>
      </c>
      <c r="Q84" s="4">
        <f t="shared" si="17"/>
        <v>-30.441478439425051</v>
      </c>
      <c r="R84" s="2">
        <f t="shared" si="18"/>
        <v>34.862385321100916</v>
      </c>
      <c r="S84" s="5">
        <f t="shared" si="19"/>
        <v>1.8348623853211009E-4</v>
      </c>
      <c r="T84" s="2">
        <f t="shared" si="20"/>
        <v>190000</v>
      </c>
    </row>
    <row r="85" spans="1:20" x14ac:dyDescent="0.3">
      <c r="A85">
        <v>84</v>
      </c>
      <c r="B85" t="s">
        <v>409</v>
      </c>
      <c r="C85">
        <v>86</v>
      </c>
      <c r="D85">
        <f t="shared" si="13"/>
        <v>660</v>
      </c>
      <c r="E85" s="3" t="s">
        <v>73</v>
      </c>
      <c r="F85" s="3">
        <f t="shared" si="12"/>
        <v>54500000</v>
      </c>
      <c r="G85" s="3" t="s">
        <v>406</v>
      </c>
      <c r="H85" s="3">
        <f t="shared" si="11"/>
        <v>2300000</v>
      </c>
      <c r="I85" s="2" t="s">
        <v>93</v>
      </c>
      <c r="J85" s="1">
        <v>8.1799999999999998E-2</v>
      </c>
      <c r="K85" s="2">
        <f t="shared" si="14"/>
        <v>4400000</v>
      </c>
      <c r="L85" s="2" t="s">
        <v>28</v>
      </c>
      <c r="M85" s="2">
        <f t="shared" si="15"/>
        <v>1500000000</v>
      </c>
      <c r="N85" s="2" t="s">
        <v>132</v>
      </c>
      <c r="O85" t="s">
        <v>23</v>
      </c>
      <c r="P85" s="2">
        <f t="shared" si="16"/>
        <v>8.0733944954128454</v>
      </c>
      <c r="Q85" s="4">
        <f t="shared" si="17"/>
        <v>91.304347826086953</v>
      </c>
      <c r="R85" s="2">
        <f t="shared" si="18"/>
        <v>27.522935779816514</v>
      </c>
      <c r="S85" s="5">
        <f t="shared" si="19"/>
        <v>1.2110091743119265E-5</v>
      </c>
      <c r="T85" s="2">
        <f t="shared" si="20"/>
        <v>2272727.2727272729</v>
      </c>
    </row>
    <row r="86" spans="1:20" x14ac:dyDescent="0.3">
      <c r="A86">
        <v>85</v>
      </c>
      <c r="B86" t="s">
        <v>410</v>
      </c>
      <c r="C86">
        <v>79</v>
      </c>
      <c r="D86">
        <f t="shared" si="13"/>
        <v>3200</v>
      </c>
      <c r="E86" s="3" t="s">
        <v>96</v>
      </c>
      <c r="F86" s="3">
        <f t="shared" si="12"/>
        <v>54100000</v>
      </c>
      <c r="G86" s="3" t="s">
        <v>411</v>
      </c>
      <c r="H86" s="3">
        <f t="shared" si="11"/>
        <v>1100000</v>
      </c>
      <c r="I86" s="2" t="s">
        <v>153</v>
      </c>
      <c r="J86" s="1">
        <v>2.06E-2</v>
      </c>
      <c r="K86" s="2">
        <f t="shared" si="14"/>
        <v>1100000</v>
      </c>
      <c r="L86" s="2" t="s">
        <v>153</v>
      </c>
      <c r="M86" s="2">
        <f t="shared" si="15"/>
        <v>3600000000</v>
      </c>
      <c r="N86" s="2" t="s">
        <v>412</v>
      </c>
      <c r="O86" t="s">
        <v>199</v>
      </c>
      <c r="P86" s="2">
        <f t="shared" si="16"/>
        <v>2.033271719038817</v>
      </c>
      <c r="Q86" s="4">
        <f t="shared" si="17"/>
        <v>0</v>
      </c>
      <c r="R86" s="2">
        <f t="shared" si="18"/>
        <v>66.543438077634008</v>
      </c>
      <c r="S86" s="5">
        <f t="shared" si="19"/>
        <v>5.9149722735674678E-5</v>
      </c>
      <c r="T86" s="2">
        <f t="shared" si="20"/>
        <v>1125000</v>
      </c>
    </row>
    <row r="87" spans="1:20" x14ac:dyDescent="0.3">
      <c r="A87">
        <v>86</v>
      </c>
      <c r="B87" t="s">
        <v>413</v>
      </c>
      <c r="C87">
        <v>86</v>
      </c>
      <c r="D87">
        <f t="shared" si="13"/>
        <v>5600</v>
      </c>
      <c r="E87" s="3" t="s">
        <v>43</v>
      </c>
      <c r="F87" s="3">
        <f t="shared" si="12"/>
        <v>53900000</v>
      </c>
      <c r="G87" s="3" t="s">
        <v>414</v>
      </c>
      <c r="H87" s="3">
        <f t="shared" si="11"/>
        <v>959800</v>
      </c>
      <c r="I87" s="2" t="s">
        <v>415</v>
      </c>
      <c r="J87" s="1">
        <v>5.1000000000000004E-3</v>
      </c>
      <c r="K87" s="2">
        <f t="shared" si="14"/>
        <v>266500</v>
      </c>
      <c r="L87" s="2" t="s">
        <v>416</v>
      </c>
      <c r="M87" s="2">
        <f t="shared" si="15"/>
        <v>5400000000</v>
      </c>
      <c r="N87" s="2" t="s">
        <v>315</v>
      </c>
      <c r="O87" t="s">
        <v>127</v>
      </c>
      <c r="P87" s="2">
        <f t="shared" si="16"/>
        <v>0.49443413729128016</v>
      </c>
      <c r="Q87" s="4">
        <f t="shared" si="17"/>
        <v>-72.233798708064185</v>
      </c>
      <c r="R87" s="2">
        <f t="shared" si="18"/>
        <v>100.18552875695732</v>
      </c>
      <c r="S87" s="5">
        <f t="shared" si="19"/>
        <v>1.038961038961039E-4</v>
      </c>
      <c r="T87" s="2">
        <f t="shared" si="20"/>
        <v>964285.71428571432</v>
      </c>
    </row>
    <row r="88" spans="1:20" x14ac:dyDescent="0.3">
      <c r="A88">
        <v>87</v>
      </c>
      <c r="B88" t="s">
        <v>417</v>
      </c>
      <c r="C88">
        <v>76</v>
      </c>
      <c r="D88">
        <f t="shared" si="13"/>
        <v>1200</v>
      </c>
      <c r="E88" s="3" t="s">
        <v>118</v>
      </c>
      <c r="F88" s="3">
        <f t="shared" si="12"/>
        <v>53500000</v>
      </c>
      <c r="G88" s="3" t="s">
        <v>418</v>
      </c>
      <c r="H88" s="3">
        <f t="shared" si="11"/>
        <v>1400000</v>
      </c>
      <c r="I88" s="2" t="s">
        <v>99</v>
      </c>
      <c r="J88" s="1">
        <v>1.3299999999999999E-2</v>
      </c>
      <c r="K88" s="2">
        <f t="shared" si="14"/>
        <v>693900</v>
      </c>
      <c r="L88" s="2" t="s">
        <v>419</v>
      </c>
      <c r="M88" s="2">
        <f t="shared" si="15"/>
        <v>1600000000</v>
      </c>
      <c r="N88" s="2" t="s">
        <v>121</v>
      </c>
      <c r="O88" t="s">
        <v>256</v>
      </c>
      <c r="P88" s="2">
        <f t="shared" si="16"/>
        <v>1.2970093457943925</v>
      </c>
      <c r="Q88" s="4">
        <f t="shared" si="17"/>
        <v>-50.435714285714283</v>
      </c>
      <c r="R88" s="2">
        <f t="shared" si="18"/>
        <v>29.906542056074766</v>
      </c>
      <c r="S88" s="5">
        <f t="shared" si="19"/>
        <v>2.2429906542056075E-5</v>
      </c>
      <c r="T88" s="2">
        <f t="shared" si="20"/>
        <v>1333333.3333333333</v>
      </c>
    </row>
    <row r="89" spans="1:20" x14ac:dyDescent="0.3">
      <c r="A89">
        <v>88</v>
      </c>
      <c r="B89" t="s">
        <v>420</v>
      </c>
      <c r="C89">
        <v>86</v>
      </c>
      <c r="D89">
        <f t="shared" si="13"/>
        <v>420</v>
      </c>
      <c r="E89" s="3" t="s">
        <v>421</v>
      </c>
      <c r="F89" s="3">
        <f t="shared" si="12"/>
        <v>53400000</v>
      </c>
      <c r="G89" s="3" t="s">
        <v>422</v>
      </c>
      <c r="H89" s="3">
        <f t="shared" si="11"/>
        <v>3000000</v>
      </c>
      <c r="I89" s="2" t="s">
        <v>423</v>
      </c>
      <c r="J89" s="1">
        <v>2.0500000000000001E-2</v>
      </c>
      <c r="K89" s="2">
        <f t="shared" si="14"/>
        <v>1100000</v>
      </c>
      <c r="L89" s="2" t="s">
        <v>153</v>
      </c>
      <c r="M89" s="2">
        <f t="shared" si="15"/>
        <v>1300000000</v>
      </c>
      <c r="N89" s="2" t="s">
        <v>94</v>
      </c>
      <c r="O89" t="s">
        <v>23</v>
      </c>
      <c r="P89" s="2">
        <f t="shared" si="16"/>
        <v>2.0599250936329585</v>
      </c>
      <c r="Q89" s="4">
        <f t="shared" si="17"/>
        <v>-63.333333333333329</v>
      </c>
      <c r="R89" s="2">
        <f t="shared" si="18"/>
        <v>24.344569288389515</v>
      </c>
      <c r="S89" s="5">
        <f t="shared" si="19"/>
        <v>7.8651685393258434E-6</v>
      </c>
      <c r="T89" s="2">
        <f t="shared" si="20"/>
        <v>3095238.0952380951</v>
      </c>
    </row>
    <row r="90" spans="1:20" x14ac:dyDescent="0.3">
      <c r="A90">
        <v>89</v>
      </c>
      <c r="B90" t="s">
        <v>424</v>
      </c>
      <c r="C90">
        <v>84</v>
      </c>
      <c r="D90">
        <f t="shared" si="13"/>
        <v>4600</v>
      </c>
      <c r="E90" s="3" t="s">
        <v>425</v>
      </c>
      <c r="F90" s="3">
        <f t="shared" si="12"/>
        <v>53400000</v>
      </c>
      <c r="G90" s="3" t="s">
        <v>422</v>
      </c>
      <c r="H90" s="3">
        <f t="shared" si="11"/>
        <v>764000</v>
      </c>
      <c r="I90" s="2" t="s">
        <v>426</v>
      </c>
      <c r="J90" s="1">
        <v>5.7000000000000002E-3</v>
      </c>
      <c r="K90" s="2">
        <f t="shared" si="14"/>
        <v>301300</v>
      </c>
      <c r="L90" s="2" t="s">
        <v>427</v>
      </c>
      <c r="M90" s="2">
        <f t="shared" si="15"/>
        <v>3500000000</v>
      </c>
      <c r="N90" s="2" t="s">
        <v>255</v>
      </c>
      <c r="O90" t="s">
        <v>891</v>
      </c>
      <c r="P90" s="2">
        <f t="shared" si="16"/>
        <v>0.56423220973782773</v>
      </c>
      <c r="Q90" s="4">
        <f t="shared" si="17"/>
        <v>-60.562827225130889</v>
      </c>
      <c r="R90" s="2">
        <f t="shared" si="18"/>
        <v>65.543071161048687</v>
      </c>
      <c r="S90" s="5">
        <f t="shared" si="19"/>
        <v>8.6142322097378272E-5</v>
      </c>
      <c r="T90" s="2">
        <f t="shared" si="20"/>
        <v>760869.56521739135</v>
      </c>
    </row>
    <row r="91" spans="1:20" x14ac:dyDescent="0.3">
      <c r="A91">
        <v>90</v>
      </c>
      <c r="B91" t="s">
        <v>428</v>
      </c>
      <c r="C91">
        <v>83</v>
      </c>
      <c r="D91">
        <f t="shared" si="13"/>
        <v>3600</v>
      </c>
      <c r="E91" s="3" t="s">
        <v>210</v>
      </c>
      <c r="F91" s="3">
        <f t="shared" si="12"/>
        <v>53200000</v>
      </c>
      <c r="G91" s="3" t="s">
        <v>429</v>
      </c>
      <c r="H91" s="3">
        <f t="shared" si="11"/>
        <v>1400000</v>
      </c>
      <c r="I91" s="2" t="s">
        <v>99</v>
      </c>
      <c r="J91" s="1">
        <v>1.0200000000000001E-2</v>
      </c>
      <c r="K91" s="2">
        <f t="shared" si="14"/>
        <v>531600</v>
      </c>
      <c r="L91" s="2" t="s">
        <v>430</v>
      </c>
      <c r="M91" s="2">
        <f t="shared" si="15"/>
        <v>5100000000</v>
      </c>
      <c r="N91" s="2" t="s">
        <v>221</v>
      </c>
      <c r="O91" t="s">
        <v>23</v>
      </c>
      <c r="P91" s="2">
        <f t="shared" si="16"/>
        <v>0.99924812030075183</v>
      </c>
      <c r="Q91" s="4">
        <f t="shared" si="17"/>
        <v>-62.028571428571432</v>
      </c>
      <c r="R91" s="2">
        <f t="shared" si="18"/>
        <v>95.864661654135332</v>
      </c>
      <c r="S91" s="5">
        <f t="shared" si="19"/>
        <v>6.7669172932330828E-5</v>
      </c>
      <c r="T91" s="2">
        <f t="shared" si="20"/>
        <v>1416666.6666666667</v>
      </c>
    </row>
    <row r="92" spans="1:20" x14ac:dyDescent="0.3">
      <c r="A92">
        <v>91</v>
      </c>
      <c r="B92" t="s">
        <v>431</v>
      </c>
      <c r="C92">
        <v>74</v>
      </c>
      <c r="D92">
        <f t="shared" si="13"/>
        <v>2100</v>
      </c>
      <c r="E92" s="3" t="s">
        <v>432</v>
      </c>
      <c r="F92" s="3">
        <f t="shared" si="12"/>
        <v>53000000</v>
      </c>
      <c r="G92" s="3" t="s">
        <v>433</v>
      </c>
      <c r="H92" s="3">
        <f t="shared" si="11"/>
        <v>1600000</v>
      </c>
      <c r="I92" s="2" t="s">
        <v>214</v>
      </c>
      <c r="J92" s="1">
        <v>1.8499999999999999E-2</v>
      </c>
      <c r="K92" s="2">
        <f t="shared" si="14"/>
        <v>971700</v>
      </c>
      <c r="L92" s="2" t="s">
        <v>434</v>
      </c>
      <c r="M92" s="2">
        <f t="shared" si="15"/>
        <v>3400000000</v>
      </c>
      <c r="N92" s="2" t="s">
        <v>184</v>
      </c>
      <c r="O92" t="s">
        <v>23</v>
      </c>
      <c r="P92" s="2">
        <f t="shared" si="16"/>
        <v>1.8333962264150943</v>
      </c>
      <c r="Q92" s="4">
        <f t="shared" si="17"/>
        <v>-39.268750000000004</v>
      </c>
      <c r="R92" s="2">
        <f t="shared" si="18"/>
        <v>64.15094339622641</v>
      </c>
      <c r="S92" s="5">
        <f t="shared" si="19"/>
        <v>3.9622641509433961E-5</v>
      </c>
      <c r="T92" s="2">
        <f t="shared" si="20"/>
        <v>1619047.6190476189</v>
      </c>
    </row>
    <row r="93" spans="1:20" x14ac:dyDescent="0.3">
      <c r="A93">
        <v>92</v>
      </c>
      <c r="B93" t="s">
        <v>435</v>
      </c>
      <c r="C93">
        <v>87</v>
      </c>
      <c r="D93">
        <f t="shared" si="13"/>
        <v>2200</v>
      </c>
      <c r="E93" s="3" t="s">
        <v>436</v>
      </c>
      <c r="F93" s="3">
        <f t="shared" si="12"/>
        <v>52800000</v>
      </c>
      <c r="G93" s="3" t="s">
        <v>437</v>
      </c>
      <c r="H93" s="3">
        <f t="shared" si="11"/>
        <v>1100000</v>
      </c>
      <c r="I93" s="2" t="s">
        <v>153</v>
      </c>
      <c r="J93" s="1">
        <v>1.06E-2</v>
      </c>
      <c r="K93" s="2">
        <f t="shared" si="14"/>
        <v>557900</v>
      </c>
      <c r="L93" s="2" t="s">
        <v>438</v>
      </c>
      <c r="M93" s="2">
        <f t="shared" si="15"/>
        <v>2500000000</v>
      </c>
      <c r="N93" s="2" t="s">
        <v>208</v>
      </c>
      <c r="O93" t="s">
        <v>891</v>
      </c>
      <c r="P93" s="2">
        <f t="shared" si="16"/>
        <v>1.0566287878787879</v>
      </c>
      <c r="Q93" s="4">
        <f t="shared" si="17"/>
        <v>-49.281818181818181</v>
      </c>
      <c r="R93" s="2">
        <f t="shared" si="18"/>
        <v>47.348484848484851</v>
      </c>
      <c r="S93" s="5">
        <f t="shared" si="19"/>
        <v>4.1666666666666665E-5</v>
      </c>
      <c r="T93" s="2">
        <f t="shared" si="20"/>
        <v>1136363.6363636365</v>
      </c>
    </row>
    <row r="94" spans="1:20" x14ac:dyDescent="0.3">
      <c r="A94">
        <v>93</v>
      </c>
      <c r="B94" t="s">
        <v>439</v>
      </c>
      <c r="C94">
        <v>87</v>
      </c>
      <c r="D94">
        <f t="shared" si="13"/>
        <v>10000</v>
      </c>
      <c r="E94" s="3" t="s">
        <v>79</v>
      </c>
      <c r="F94" s="3">
        <f t="shared" si="12"/>
        <v>52800000</v>
      </c>
      <c r="G94" s="3" t="s">
        <v>437</v>
      </c>
      <c r="H94" s="3">
        <f t="shared" si="11"/>
        <v>878000</v>
      </c>
      <c r="I94" s="2" t="s">
        <v>440</v>
      </c>
      <c r="J94" s="1">
        <v>6.6E-3</v>
      </c>
      <c r="K94" s="2">
        <f t="shared" si="14"/>
        <v>340500</v>
      </c>
      <c r="L94" s="2" t="s">
        <v>441</v>
      </c>
      <c r="M94" s="2">
        <f t="shared" si="15"/>
        <v>8800000000</v>
      </c>
      <c r="N94" s="2" t="s">
        <v>266</v>
      </c>
      <c r="O94" t="s">
        <v>891</v>
      </c>
      <c r="P94" s="2">
        <f t="shared" si="16"/>
        <v>0.64488636363636365</v>
      </c>
      <c r="Q94" s="4">
        <f t="shared" si="17"/>
        <v>-61.218678815489746</v>
      </c>
      <c r="R94" s="2">
        <f t="shared" si="18"/>
        <v>166.66666666666666</v>
      </c>
      <c r="S94" s="5">
        <f t="shared" si="19"/>
        <v>1.8939393939393939E-4</v>
      </c>
      <c r="T94" s="2">
        <f t="shared" si="20"/>
        <v>880000</v>
      </c>
    </row>
    <row r="95" spans="1:20" x14ac:dyDescent="0.3">
      <c r="A95">
        <v>94</v>
      </c>
      <c r="B95" t="s">
        <v>442</v>
      </c>
      <c r="C95">
        <v>22</v>
      </c>
      <c r="D95">
        <f t="shared" si="13"/>
        <v>840</v>
      </c>
      <c r="E95" s="3" t="s">
        <v>443</v>
      </c>
      <c r="F95" s="3">
        <f t="shared" si="12"/>
        <v>52500000</v>
      </c>
      <c r="G95" s="3" t="s">
        <v>444</v>
      </c>
      <c r="H95" s="3">
        <f t="shared" si="11"/>
        <v>1800000</v>
      </c>
      <c r="I95" s="2" t="s">
        <v>114</v>
      </c>
      <c r="J95" s="1">
        <v>2.18E-2</v>
      </c>
      <c r="K95" s="2">
        <f t="shared" si="14"/>
        <v>1100000</v>
      </c>
      <c r="L95" s="2" t="s">
        <v>153</v>
      </c>
      <c r="M95" s="2">
        <f t="shared" si="15"/>
        <v>1500000000</v>
      </c>
      <c r="N95" s="2" t="s">
        <v>132</v>
      </c>
      <c r="O95" t="s">
        <v>891</v>
      </c>
      <c r="P95" s="2">
        <f t="shared" si="16"/>
        <v>2.0952380952380953</v>
      </c>
      <c r="Q95" s="4">
        <f t="shared" si="17"/>
        <v>-38.888888888888893</v>
      </c>
      <c r="R95" s="2">
        <f t="shared" si="18"/>
        <v>28.571428571428573</v>
      </c>
      <c r="S95" s="5">
        <f t="shared" si="19"/>
        <v>1.5999999999999999E-5</v>
      </c>
      <c r="T95" s="2">
        <f t="shared" si="20"/>
        <v>1785714.2857142857</v>
      </c>
    </row>
    <row r="96" spans="1:20" x14ac:dyDescent="0.3">
      <c r="A96">
        <v>95</v>
      </c>
      <c r="B96" t="s">
        <v>445</v>
      </c>
      <c r="C96">
        <v>85</v>
      </c>
      <c r="D96">
        <f t="shared" si="13"/>
        <v>10000</v>
      </c>
      <c r="E96" s="3" t="s">
        <v>79</v>
      </c>
      <c r="F96" s="3">
        <f t="shared" si="12"/>
        <v>52400000</v>
      </c>
      <c r="G96" s="3" t="s">
        <v>446</v>
      </c>
      <c r="H96" s="3">
        <f t="shared" si="11"/>
        <v>147300</v>
      </c>
      <c r="I96" s="2" t="s">
        <v>447</v>
      </c>
      <c r="J96" s="1">
        <v>1.1000000000000001E-3</v>
      </c>
      <c r="K96" s="2">
        <f t="shared" si="14"/>
        <v>56300</v>
      </c>
      <c r="L96" s="2" t="s">
        <v>448</v>
      </c>
      <c r="M96" s="2">
        <f t="shared" si="15"/>
        <v>1500000000</v>
      </c>
      <c r="N96" s="2" t="s">
        <v>132</v>
      </c>
      <c r="O96" t="s">
        <v>323</v>
      </c>
      <c r="P96" s="2">
        <f t="shared" si="16"/>
        <v>0.10744274809160305</v>
      </c>
      <c r="Q96" s="4">
        <f t="shared" si="17"/>
        <v>-61.778682959945684</v>
      </c>
      <c r="R96" s="2">
        <f t="shared" si="18"/>
        <v>28.625954198473284</v>
      </c>
      <c r="S96" s="5">
        <f t="shared" si="19"/>
        <v>1.9083969465648855E-4</v>
      </c>
      <c r="T96" s="2">
        <f t="shared" si="20"/>
        <v>150000</v>
      </c>
    </row>
    <row r="97" spans="1:20" x14ac:dyDescent="0.3">
      <c r="A97">
        <v>96</v>
      </c>
      <c r="B97">
        <v>433</v>
      </c>
      <c r="C97">
        <v>79</v>
      </c>
      <c r="D97">
        <f t="shared" si="13"/>
        <v>10300</v>
      </c>
      <c r="E97" s="3" t="s">
        <v>449</v>
      </c>
      <c r="F97" s="3">
        <f t="shared" si="12"/>
        <v>51200000</v>
      </c>
      <c r="G97" s="3" t="s">
        <v>450</v>
      </c>
      <c r="H97" s="3">
        <f t="shared" si="11"/>
        <v>863200</v>
      </c>
      <c r="I97" s="2" t="s">
        <v>451</v>
      </c>
      <c r="J97" s="1">
        <v>1.52E-2</v>
      </c>
      <c r="K97" s="2">
        <f t="shared" si="14"/>
        <v>774200</v>
      </c>
      <c r="L97" s="2" t="s">
        <v>452</v>
      </c>
      <c r="M97" s="2">
        <f t="shared" si="15"/>
        <v>8900000000</v>
      </c>
      <c r="N97" s="2" t="s">
        <v>453</v>
      </c>
      <c r="O97" t="s">
        <v>178</v>
      </c>
      <c r="P97" s="2">
        <f t="shared" si="16"/>
        <v>1.5121093750000001</v>
      </c>
      <c r="Q97" s="4">
        <f t="shared" si="17"/>
        <v>-10.31047265987025</v>
      </c>
      <c r="R97" s="2">
        <f t="shared" si="18"/>
        <v>173.828125</v>
      </c>
      <c r="S97" s="5">
        <f t="shared" si="19"/>
        <v>2.0117187499999999E-4</v>
      </c>
      <c r="T97" s="2">
        <f t="shared" si="20"/>
        <v>864077.66990291257</v>
      </c>
    </row>
    <row r="98" spans="1:20" x14ac:dyDescent="0.3">
      <c r="A98">
        <v>97</v>
      </c>
      <c r="B98" t="s">
        <v>454</v>
      </c>
      <c r="C98">
        <v>82</v>
      </c>
      <c r="D98">
        <f t="shared" si="13"/>
        <v>2400</v>
      </c>
      <c r="E98" s="3" t="s">
        <v>342</v>
      </c>
      <c r="F98" s="3">
        <f t="shared" ref="F98:F129" si="21">IF(RIGHT(G98,1)="m",VALUE(LEFT(G98,LEN(G98)-1))*1000000)</f>
        <v>50800000</v>
      </c>
      <c r="G98" s="3" t="s">
        <v>455</v>
      </c>
      <c r="H98" s="3">
        <f t="shared" si="11"/>
        <v>186400</v>
      </c>
      <c r="I98" s="2" t="s">
        <v>456</v>
      </c>
      <c r="J98" s="1">
        <v>4.0000000000000002E-4</v>
      </c>
      <c r="K98" s="2">
        <f t="shared" si="14"/>
        <v>16800</v>
      </c>
      <c r="L98" s="2" t="s">
        <v>457</v>
      </c>
      <c r="M98" s="2">
        <f t="shared" si="15"/>
        <v>453600000</v>
      </c>
      <c r="N98" s="2" t="s">
        <v>458</v>
      </c>
      <c r="O98" t="s">
        <v>23</v>
      </c>
      <c r="P98" s="2">
        <f t="shared" si="16"/>
        <v>3.3070866141732283E-2</v>
      </c>
      <c r="Q98" s="4">
        <f t="shared" si="17"/>
        <v>-90.987124463519308</v>
      </c>
      <c r="R98" s="2">
        <f t="shared" si="18"/>
        <v>8.9291338582677167</v>
      </c>
      <c r="S98" s="5">
        <f t="shared" si="19"/>
        <v>4.7244094488188978E-5</v>
      </c>
      <c r="T98" s="2">
        <f t="shared" si="20"/>
        <v>189000</v>
      </c>
    </row>
    <row r="99" spans="1:20" x14ac:dyDescent="0.3">
      <c r="A99">
        <v>98</v>
      </c>
      <c r="B99" t="s">
        <v>459</v>
      </c>
      <c r="C99">
        <v>84</v>
      </c>
      <c r="D99">
        <f t="shared" si="13"/>
        <v>420</v>
      </c>
      <c r="E99" s="3" t="s">
        <v>421</v>
      </c>
      <c r="F99" s="3">
        <f t="shared" si="21"/>
        <v>50700000</v>
      </c>
      <c r="G99" s="3" t="s">
        <v>460</v>
      </c>
      <c r="H99" s="3">
        <f t="shared" si="11"/>
        <v>4700000</v>
      </c>
      <c r="I99" s="2" t="s">
        <v>461</v>
      </c>
      <c r="J99" s="1">
        <v>3.8199999999999998E-2</v>
      </c>
      <c r="K99" s="2">
        <f t="shared" si="14"/>
        <v>1900000</v>
      </c>
      <c r="L99" s="2" t="s">
        <v>39</v>
      </c>
      <c r="M99" s="2">
        <f t="shared" si="15"/>
        <v>2000000000</v>
      </c>
      <c r="N99" s="2" t="s">
        <v>231</v>
      </c>
      <c r="O99" t="s">
        <v>23</v>
      </c>
      <c r="P99" s="2">
        <f t="shared" si="16"/>
        <v>3.7475345167652856</v>
      </c>
      <c r="Q99" s="4">
        <f t="shared" si="17"/>
        <v>-59.574468085106382</v>
      </c>
      <c r="R99" s="2">
        <f t="shared" si="18"/>
        <v>39.447731755424066</v>
      </c>
      <c r="S99" s="5">
        <f t="shared" si="19"/>
        <v>8.2840236686390539E-6</v>
      </c>
      <c r="T99" s="2">
        <f t="shared" si="20"/>
        <v>4761904.7619047621</v>
      </c>
    </row>
    <row r="100" spans="1:20" x14ac:dyDescent="0.3">
      <c r="A100">
        <v>99</v>
      </c>
      <c r="B100" t="s">
        <v>462</v>
      </c>
      <c r="C100">
        <v>85</v>
      </c>
      <c r="D100">
        <f t="shared" si="13"/>
        <v>600</v>
      </c>
      <c r="E100" s="3" t="s">
        <v>463</v>
      </c>
      <c r="F100" s="3">
        <f t="shared" si="21"/>
        <v>50700000</v>
      </c>
      <c r="G100" s="3" t="s">
        <v>460</v>
      </c>
      <c r="H100" s="3">
        <f t="shared" si="11"/>
        <v>700500</v>
      </c>
      <c r="I100" s="2" t="s">
        <v>464</v>
      </c>
      <c r="J100" s="1">
        <v>1.2200000000000001E-2</v>
      </c>
      <c r="K100" s="2">
        <f t="shared" si="14"/>
        <v>611200</v>
      </c>
      <c r="L100" s="2" t="s">
        <v>465</v>
      </c>
      <c r="M100" s="2">
        <f t="shared" si="15"/>
        <v>421700000</v>
      </c>
      <c r="N100" s="2" t="s">
        <v>466</v>
      </c>
      <c r="O100" t="s">
        <v>891</v>
      </c>
      <c r="P100" s="2">
        <f t="shared" si="16"/>
        <v>1.2055226824457592</v>
      </c>
      <c r="Q100" s="4">
        <f t="shared" si="17"/>
        <v>-12.748037116345468</v>
      </c>
      <c r="R100" s="2">
        <f t="shared" si="18"/>
        <v>8.3175542406311642</v>
      </c>
      <c r="S100" s="5">
        <f t="shared" si="19"/>
        <v>1.1834319526627219E-5</v>
      </c>
      <c r="T100" s="2">
        <f t="shared" si="20"/>
        <v>702833.33333333337</v>
      </c>
    </row>
    <row r="101" spans="1:20" x14ac:dyDescent="0.3">
      <c r="A101">
        <v>100</v>
      </c>
      <c r="B101" t="s">
        <v>467</v>
      </c>
      <c r="C101">
        <v>76</v>
      </c>
      <c r="D101">
        <f t="shared" si="13"/>
        <v>2700</v>
      </c>
      <c r="E101" s="3" t="s">
        <v>364</v>
      </c>
      <c r="F101" s="3">
        <f t="shared" si="21"/>
        <v>50200000</v>
      </c>
      <c r="G101" s="3" t="s">
        <v>468</v>
      </c>
      <c r="H101" s="3">
        <f t="shared" si="11"/>
        <v>897200</v>
      </c>
      <c r="I101" s="2" t="s">
        <v>469</v>
      </c>
      <c r="J101" s="1">
        <v>1.21E-2</v>
      </c>
      <c r="K101" s="2">
        <f t="shared" si="14"/>
        <v>604400</v>
      </c>
      <c r="L101" s="2" t="s">
        <v>470</v>
      </c>
      <c r="M101" s="2">
        <f t="shared" si="15"/>
        <v>2400000000</v>
      </c>
      <c r="N101" s="2" t="s">
        <v>471</v>
      </c>
      <c r="O101" t="s">
        <v>256</v>
      </c>
      <c r="P101" s="2">
        <f t="shared" si="16"/>
        <v>1.2039840637450201</v>
      </c>
      <c r="Q101" s="4">
        <f t="shared" si="17"/>
        <v>-32.634864021399913</v>
      </c>
      <c r="R101" s="2">
        <f t="shared" si="18"/>
        <v>47.808764940239044</v>
      </c>
      <c r="S101" s="5">
        <f t="shared" si="19"/>
        <v>5.3784860557768924E-5</v>
      </c>
      <c r="T101" s="2">
        <f t="shared" si="20"/>
        <v>888888.88888888888</v>
      </c>
    </row>
    <row r="102" spans="1:20" x14ac:dyDescent="0.3">
      <c r="A102">
        <v>101</v>
      </c>
      <c r="B102" t="s">
        <v>472</v>
      </c>
      <c r="C102">
        <v>86</v>
      </c>
      <c r="D102">
        <f t="shared" si="13"/>
        <v>1100</v>
      </c>
      <c r="E102" s="3" t="s">
        <v>473</v>
      </c>
      <c r="F102" s="3">
        <f t="shared" si="21"/>
        <v>49900000</v>
      </c>
      <c r="G102" s="3" t="s">
        <v>474</v>
      </c>
      <c r="H102" s="3">
        <f t="shared" si="11"/>
        <v>1400000</v>
      </c>
      <c r="I102" s="2" t="s">
        <v>99</v>
      </c>
      <c r="J102" s="1">
        <v>7.4999999999999997E-3</v>
      </c>
      <c r="K102" s="2">
        <f t="shared" si="14"/>
        <v>363900</v>
      </c>
      <c r="L102" s="2" t="s">
        <v>475</v>
      </c>
      <c r="M102" s="2">
        <f t="shared" si="15"/>
        <v>1500000000</v>
      </c>
      <c r="N102" s="2" t="s">
        <v>132</v>
      </c>
      <c r="O102" t="s">
        <v>337</v>
      </c>
      <c r="P102" s="2">
        <f t="shared" si="16"/>
        <v>0.72925851703406819</v>
      </c>
      <c r="Q102" s="4">
        <f t="shared" si="17"/>
        <v>-74.007142857142867</v>
      </c>
      <c r="R102" s="2">
        <f t="shared" si="18"/>
        <v>30.060120240480963</v>
      </c>
      <c r="S102" s="5">
        <f t="shared" si="19"/>
        <v>2.2044088176352705E-5</v>
      </c>
      <c r="T102" s="2">
        <f t="shared" si="20"/>
        <v>1363636.3636363635</v>
      </c>
    </row>
    <row r="103" spans="1:20" x14ac:dyDescent="0.3">
      <c r="A103">
        <v>102</v>
      </c>
      <c r="B103" t="s">
        <v>476</v>
      </c>
      <c r="C103">
        <v>80</v>
      </c>
      <c r="D103">
        <f t="shared" si="13"/>
        <v>6400</v>
      </c>
      <c r="E103" s="3" t="s">
        <v>106</v>
      </c>
      <c r="F103" s="3">
        <f t="shared" si="21"/>
        <v>49700000</v>
      </c>
      <c r="G103" s="3" t="s">
        <v>477</v>
      </c>
      <c r="H103" s="3">
        <f t="shared" si="11"/>
        <v>356800</v>
      </c>
      <c r="I103" s="2" t="s">
        <v>478</v>
      </c>
      <c r="J103" s="1">
        <v>9.1000000000000004E-3</v>
      </c>
      <c r="K103" s="2">
        <f t="shared" si="14"/>
        <v>452900</v>
      </c>
      <c r="L103" s="2" t="s">
        <v>479</v>
      </c>
      <c r="M103" s="2">
        <f t="shared" si="15"/>
        <v>2300000000</v>
      </c>
      <c r="N103" s="2" t="s">
        <v>204</v>
      </c>
      <c r="O103" t="s">
        <v>23</v>
      </c>
      <c r="P103" s="2">
        <f t="shared" si="16"/>
        <v>0.91126760563380282</v>
      </c>
      <c r="Q103" s="4">
        <f t="shared" si="17"/>
        <v>26.933856502242154</v>
      </c>
      <c r="R103" s="2">
        <f t="shared" si="18"/>
        <v>46.277665995975852</v>
      </c>
      <c r="S103" s="5">
        <f t="shared" si="19"/>
        <v>1.2877263581488932E-4</v>
      </c>
      <c r="T103" s="2">
        <f t="shared" si="20"/>
        <v>359375</v>
      </c>
    </row>
    <row r="104" spans="1:20" x14ac:dyDescent="0.3">
      <c r="A104">
        <v>103</v>
      </c>
      <c r="B104" t="s">
        <v>480</v>
      </c>
      <c r="C104">
        <v>83</v>
      </c>
      <c r="D104">
        <f t="shared" si="13"/>
        <v>60</v>
      </c>
      <c r="E104" s="3" t="s">
        <v>481</v>
      </c>
      <c r="F104" s="3">
        <f t="shared" si="21"/>
        <v>49300000</v>
      </c>
      <c r="G104" s="3" t="s">
        <v>482</v>
      </c>
      <c r="H104" s="3">
        <f t="shared" si="11"/>
        <v>15400000</v>
      </c>
      <c r="I104" s="2" t="s">
        <v>483</v>
      </c>
      <c r="J104" s="1">
        <v>0.25800000000000001</v>
      </c>
      <c r="K104" s="2">
        <f t="shared" si="14"/>
        <v>12600000</v>
      </c>
      <c r="L104" s="2" t="s">
        <v>484</v>
      </c>
      <c r="M104" s="2">
        <f t="shared" si="15"/>
        <v>987400000</v>
      </c>
      <c r="N104" s="2" t="s">
        <v>485</v>
      </c>
      <c r="O104" t="s">
        <v>891</v>
      </c>
      <c r="P104" s="2">
        <f t="shared" si="16"/>
        <v>25.557809330628807</v>
      </c>
      <c r="Q104" s="4">
        <f t="shared" si="17"/>
        <v>-18.181818181818183</v>
      </c>
      <c r="R104" s="2">
        <f t="shared" si="18"/>
        <v>20.028397565922919</v>
      </c>
      <c r="S104" s="5">
        <f t="shared" si="19"/>
        <v>1.2170385395537525E-6</v>
      </c>
      <c r="T104" s="2">
        <f t="shared" si="20"/>
        <v>16456666.666666666</v>
      </c>
    </row>
    <row r="105" spans="1:20" x14ac:dyDescent="0.3">
      <c r="A105">
        <v>104</v>
      </c>
      <c r="B105" t="s">
        <v>486</v>
      </c>
      <c r="C105">
        <v>81</v>
      </c>
      <c r="D105">
        <f t="shared" si="13"/>
        <v>2500</v>
      </c>
      <c r="E105" s="3" t="s">
        <v>264</v>
      </c>
      <c r="F105" s="3">
        <f t="shared" si="21"/>
        <v>49200000</v>
      </c>
      <c r="G105" s="3" t="s">
        <v>487</v>
      </c>
      <c r="H105" s="3">
        <f t="shared" si="11"/>
        <v>2400000</v>
      </c>
      <c r="I105" s="2" t="s">
        <v>63</v>
      </c>
      <c r="J105" s="1">
        <v>3.5499999999999997E-2</v>
      </c>
      <c r="K105" s="2">
        <f t="shared" si="14"/>
        <v>1700000</v>
      </c>
      <c r="L105" s="2" t="s">
        <v>98</v>
      </c>
      <c r="M105" s="2">
        <f t="shared" si="15"/>
        <v>6100000000</v>
      </c>
      <c r="N105" s="2" t="s">
        <v>488</v>
      </c>
      <c r="O105" t="s">
        <v>23</v>
      </c>
      <c r="P105" s="2">
        <f t="shared" si="16"/>
        <v>3.4552845528455287</v>
      </c>
      <c r="Q105" s="4">
        <f t="shared" si="17"/>
        <v>-29.166666666666668</v>
      </c>
      <c r="R105" s="2">
        <f t="shared" si="18"/>
        <v>123.98373983739837</v>
      </c>
      <c r="S105" s="5">
        <f t="shared" si="19"/>
        <v>5.0813008130081301E-5</v>
      </c>
      <c r="T105" s="2">
        <f t="shared" si="20"/>
        <v>2440000</v>
      </c>
    </row>
    <row r="106" spans="1:20" x14ac:dyDescent="0.3">
      <c r="A106">
        <v>105</v>
      </c>
      <c r="B106" t="s">
        <v>489</v>
      </c>
      <c r="C106">
        <v>80</v>
      </c>
      <c r="D106">
        <f t="shared" si="13"/>
        <v>150</v>
      </c>
      <c r="E106" s="3" t="s">
        <v>490</v>
      </c>
      <c r="F106" s="3">
        <f t="shared" si="21"/>
        <v>49100000</v>
      </c>
      <c r="G106" s="3" t="s">
        <v>491</v>
      </c>
      <c r="H106" s="3">
        <f t="shared" si="11"/>
        <v>4200000</v>
      </c>
      <c r="I106" s="2" t="s">
        <v>492</v>
      </c>
      <c r="J106" s="1">
        <v>3.2800000000000003E-2</v>
      </c>
      <c r="K106" s="2">
        <f t="shared" si="14"/>
        <v>1600000</v>
      </c>
      <c r="L106" s="2" t="s">
        <v>214</v>
      </c>
      <c r="M106" s="2">
        <f t="shared" si="15"/>
        <v>654400000</v>
      </c>
      <c r="N106" s="2" t="s">
        <v>493</v>
      </c>
      <c r="O106" t="s">
        <v>891</v>
      </c>
      <c r="P106" s="2">
        <f t="shared" si="16"/>
        <v>3.2586558044806515</v>
      </c>
      <c r="Q106" s="4">
        <f t="shared" si="17"/>
        <v>-61.904761904761905</v>
      </c>
      <c r="R106" s="2">
        <f t="shared" si="18"/>
        <v>13.327902240325866</v>
      </c>
      <c r="S106" s="5">
        <f t="shared" si="19"/>
        <v>3.0549898167006109E-6</v>
      </c>
      <c r="T106" s="2">
        <f t="shared" si="20"/>
        <v>4362666.666666667</v>
      </c>
    </row>
    <row r="107" spans="1:20" x14ac:dyDescent="0.3">
      <c r="A107">
        <v>106</v>
      </c>
      <c r="B107" t="s">
        <v>494</v>
      </c>
      <c r="C107">
        <v>86</v>
      </c>
      <c r="D107">
        <f t="shared" si="13"/>
        <v>8900</v>
      </c>
      <c r="E107" s="3" t="s">
        <v>495</v>
      </c>
      <c r="F107" s="3">
        <f t="shared" si="21"/>
        <v>49000000</v>
      </c>
      <c r="G107" s="3" t="s">
        <v>496</v>
      </c>
      <c r="H107" s="3">
        <f t="shared" si="11"/>
        <v>115100</v>
      </c>
      <c r="I107" s="2" t="s">
        <v>497</v>
      </c>
      <c r="J107" s="1">
        <v>1.5E-3</v>
      </c>
      <c r="K107" s="2">
        <f t="shared" si="14"/>
        <v>72400</v>
      </c>
      <c r="L107" s="2" t="s">
        <v>498</v>
      </c>
      <c r="M107" s="2">
        <f t="shared" si="15"/>
        <v>1000000000</v>
      </c>
      <c r="N107" s="2" t="s">
        <v>499</v>
      </c>
      <c r="O107" t="s">
        <v>500</v>
      </c>
      <c r="P107" s="2">
        <f t="shared" si="16"/>
        <v>0.14775510204081632</v>
      </c>
      <c r="Q107" s="4">
        <f t="shared" si="17"/>
        <v>-37.098175499565592</v>
      </c>
      <c r="R107" s="2">
        <f t="shared" si="18"/>
        <v>20.408163265306122</v>
      </c>
      <c r="S107" s="5">
        <f t="shared" si="19"/>
        <v>1.8163265306122449E-4</v>
      </c>
      <c r="T107" s="2">
        <f t="shared" si="20"/>
        <v>112359.55056179775</v>
      </c>
    </row>
    <row r="108" spans="1:20" x14ac:dyDescent="0.3">
      <c r="A108">
        <v>107</v>
      </c>
      <c r="B108" t="s">
        <v>501</v>
      </c>
      <c r="C108">
        <v>84</v>
      </c>
      <c r="D108">
        <f t="shared" si="13"/>
        <v>6500</v>
      </c>
      <c r="E108" s="3" t="s">
        <v>502</v>
      </c>
      <c r="F108" s="3">
        <f t="shared" si="21"/>
        <v>48900000</v>
      </c>
      <c r="G108" s="3" t="s">
        <v>503</v>
      </c>
      <c r="H108" s="3">
        <f t="shared" si="11"/>
        <v>372400</v>
      </c>
      <c r="I108" s="2" t="s">
        <v>504</v>
      </c>
      <c r="J108" s="1">
        <v>2.7000000000000001E-3</v>
      </c>
      <c r="K108" s="2">
        <f t="shared" si="14"/>
        <v>131800</v>
      </c>
      <c r="L108" s="2" t="s">
        <v>505</v>
      </c>
      <c r="M108" s="2">
        <f t="shared" si="15"/>
        <v>2400000000</v>
      </c>
      <c r="N108" s="2" t="s">
        <v>471</v>
      </c>
      <c r="O108" t="s">
        <v>323</v>
      </c>
      <c r="P108" s="2">
        <f t="shared" si="16"/>
        <v>0.26952965235173826</v>
      </c>
      <c r="Q108" s="4">
        <f t="shared" si="17"/>
        <v>-64.607948442534919</v>
      </c>
      <c r="R108" s="2">
        <f t="shared" si="18"/>
        <v>49.079754601226995</v>
      </c>
      <c r="S108" s="5">
        <f t="shared" si="19"/>
        <v>1.329243353783231E-4</v>
      </c>
      <c r="T108" s="2">
        <f t="shared" si="20"/>
        <v>369230.76923076925</v>
      </c>
    </row>
    <row r="109" spans="1:20" x14ac:dyDescent="0.3">
      <c r="A109">
        <v>108</v>
      </c>
      <c r="B109" t="s">
        <v>506</v>
      </c>
      <c r="C109">
        <v>82</v>
      </c>
      <c r="D109">
        <f t="shared" si="13"/>
        <v>6500</v>
      </c>
      <c r="E109" s="3" t="s">
        <v>502</v>
      </c>
      <c r="F109" s="3">
        <f t="shared" si="21"/>
        <v>48700000</v>
      </c>
      <c r="G109" s="3" t="s">
        <v>507</v>
      </c>
      <c r="H109" s="3">
        <f t="shared" si="11"/>
        <v>127500</v>
      </c>
      <c r="I109" s="2" t="s">
        <v>508</v>
      </c>
      <c r="J109" s="1">
        <v>8.0000000000000004E-4</v>
      </c>
      <c r="K109" s="2">
        <f t="shared" si="14"/>
        <v>40500</v>
      </c>
      <c r="L109" s="2" t="s">
        <v>509</v>
      </c>
      <c r="M109" s="2">
        <f t="shared" si="15"/>
        <v>824000000</v>
      </c>
      <c r="N109" s="2" t="s">
        <v>510</v>
      </c>
      <c r="O109" t="s">
        <v>349</v>
      </c>
      <c r="P109" s="2">
        <f t="shared" si="16"/>
        <v>8.3162217659137588E-2</v>
      </c>
      <c r="Q109" s="4">
        <f t="shared" si="17"/>
        <v>-68.235294117647058</v>
      </c>
      <c r="R109" s="2">
        <f t="shared" si="18"/>
        <v>16.919917864476385</v>
      </c>
      <c r="S109" s="5">
        <f t="shared" si="19"/>
        <v>1.3347022587268994E-4</v>
      </c>
      <c r="T109" s="2">
        <f t="shared" si="20"/>
        <v>126769.23076923077</v>
      </c>
    </row>
    <row r="110" spans="1:20" x14ac:dyDescent="0.3">
      <c r="A110">
        <v>109</v>
      </c>
      <c r="B110" t="s">
        <v>511</v>
      </c>
      <c r="C110">
        <v>85</v>
      </c>
      <c r="D110">
        <f t="shared" si="13"/>
        <v>1300</v>
      </c>
      <c r="E110" s="3" t="s">
        <v>196</v>
      </c>
      <c r="F110" s="3">
        <f t="shared" si="21"/>
        <v>48300000</v>
      </c>
      <c r="G110" s="3" t="s">
        <v>512</v>
      </c>
      <c r="H110" s="3">
        <f t="shared" si="11"/>
        <v>1800000</v>
      </c>
      <c r="I110" s="2" t="s">
        <v>114</v>
      </c>
      <c r="J110" s="1">
        <v>2.8799999999999999E-2</v>
      </c>
      <c r="K110" s="2">
        <f t="shared" si="14"/>
        <v>1400000</v>
      </c>
      <c r="L110" s="2" t="s">
        <v>99</v>
      </c>
      <c r="M110" s="2">
        <f t="shared" si="15"/>
        <v>2300000000</v>
      </c>
      <c r="N110" s="2" t="s">
        <v>204</v>
      </c>
      <c r="O110" t="s">
        <v>891</v>
      </c>
      <c r="P110" s="2">
        <f t="shared" si="16"/>
        <v>2.8985507246376812</v>
      </c>
      <c r="Q110" s="4">
        <f t="shared" si="17"/>
        <v>-22.222222222222221</v>
      </c>
      <c r="R110" s="2">
        <f t="shared" si="18"/>
        <v>47.61904761904762</v>
      </c>
      <c r="S110" s="5">
        <f t="shared" si="19"/>
        <v>2.691511387163561E-5</v>
      </c>
      <c r="T110" s="2">
        <f t="shared" si="20"/>
        <v>1769230.7692307692</v>
      </c>
    </row>
    <row r="111" spans="1:20" x14ac:dyDescent="0.3">
      <c r="A111">
        <v>110</v>
      </c>
      <c r="B111" t="s">
        <v>513</v>
      </c>
      <c r="C111">
        <v>85</v>
      </c>
      <c r="D111">
        <f t="shared" si="13"/>
        <v>1400</v>
      </c>
      <c r="E111" s="3" t="s">
        <v>102</v>
      </c>
      <c r="F111" s="3">
        <f t="shared" si="21"/>
        <v>48200000</v>
      </c>
      <c r="G111" s="3" t="s">
        <v>514</v>
      </c>
      <c r="H111" s="3">
        <f t="shared" si="11"/>
        <v>2100000</v>
      </c>
      <c r="I111" s="2" t="s">
        <v>108</v>
      </c>
      <c r="J111" s="1">
        <v>2.7699999999999999E-2</v>
      </c>
      <c r="K111" s="2">
        <f t="shared" si="14"/>
        <v>1300000</v>
      </c>
      <c r="L111" s="2" t="s">
        <v>115</v>
      </c>
      <c r="M111" s="2">
        <f t="shared" si="15"/>
        <v>3000000000</v>
      </c>
      <c r="N111" s="2" t="s">
        <v>83</v>
      </c>
      <c r="O111" t="s">
        <v>891</v>
      </c>
      <c r="P111" s="2">
        <f t="shared" si="16"/>
        <v>2.6970954356846475</v>
      </c>
      <c r="Q111" s="4">
        <f t="shared" si="17"/>
        <v>-38.095238095238095</v>
      </c>
      <c r="R111" s="2">
        <f t="shared" si="18"/>
        <v>62.240663900414937</v>
      </c>
      <c r="S111" s="5">
        <f t="shared" si="19"/>
        <v>2.9045643153526971E-5</v>
      </c>
      <c r="T111" s="2">
        <f t="shared" si="20"/>
        <v>2142857.1428571427</v>
      </c>
    </row>
    <row r="112" spans="1:20" x14ac:dyDescent="0.3">
      <c r="A112">
        <v>111</v>
      </c>
      <c r="B112" t="s">
        <v>515</v>
      </c>
      <c r="C112">
        <v>85</v>
      </c>
      <c r="D112">
        <f t="shared" si="13"/>
        <v>170</v>
      </c>
      <c r="E112" s="3" t="s">
        <v>516</v>
      </c>
      <c r="F112" s="3">
        <f t="shared" si="21"/>
        <v>48200000</v>
      </c>
      <c r="G112" s="3" t="s">
        <v>514</v>
      </c>
      <c r="H112" s="3">
        <f t="shared" si="11"/>
        <v>1600000</v>
      </c>
      <c r="I112" s="2" t="s">
        <v>214</v>
      </c>
      <c r="J112" s="1">
        <v>1.7500000000000002E-2</v>
      </c>
      <c r="K112" s="2">
        <f t="shared" si="14"/>
        <v>841400</v>
      </c>
      <c r="L112" s="2" t="s">
        <v>517</v>
      </c>
      <c r="M112" s="2">
        <f t="shared" si="15"/>
        <v>283000000</v>
      </c>
      <c r="N112" s="2" t="s">
        <v>518</v>
      </c>
      <c r="O112" t="s">
        <v>23</v>
      </c>
      <c r="P112" s="2">
        <f t="shared" si="16"/>
        <v>1.7456431535269707</v>
      </c>
      <c r="Q112" s="4">
        <f t="shared" si="17"/>
        <v>-47.412500000000001</v>
      </c>
      <c r="R112" s="2">
        <f t="shared" si="18"/>
        <v>5.8713692946058087</v>
      </c>
      <c r="S112" s="5">
        <f t="shared" si="19"/>
        <v>3.5269709543568467E-6</v>
      </c>
      <c r="T112" s="2">
        <f t="shared" si="20"/>
        <v>1664705.8823529412</v>
      </c>
    </row>
    <row r="113" spans="1:20" x14ac:dyDescent="0.3">
      <c r="A113">
        <v>112</v>
      </c>
      <c r="B113" t="s">
        <v>519</v>
      </c>
      <c r="C113">
        <v>86</v>
      </c>
      <c r="D113">
        <f t="shared" si="13"/>
        <v>980</v>
      </c>
      <c r="E113" s="3" t="s">
        <v>520</v>
      </c>
      <c r="F113" s="3">
        <f t="shared" si="21"/>
        <v>48100000</v>
      </c>
      <c r="G113" s="3" t="s">
        <v>521</v>
      </c>
      <c r="H113" s="3">
        <f t="shared" si="11"/>
        <v>763000</v>
      </c>
      <c r="I113" s="2" t="s">
        <v>522</v>
      </c>
      <c r="J113" s="1">
        <v>1.43E-2</v>
      </c>
      <c r="K113" s="2">
        <f t="shared" si="14"/>
        <v>681300</v>
      </c>
      <c r="L113" s="2" t="s">
        <v>523</v>
      </c>
      <c r="M113" s="2">
        <f t="shared" si="15"/>
        <v>753100000</v>
      </c>
      <c r="N113" s="2" t="s">
        <v>524</v>
      </c>
      <c r="O113" t="s">
        <v>891</v>
      </c>
      <c r="P113" s="2">
        <f t="shared" si="16"/>
        <v>1.4164241164241165</v>
      </c>
      <c r="Q113" s="4">
        <f t="shared" si="17"/>
        <v>-10.707732634338139</v>
      </c>
      <c r="R113" s="2">
        <f t="shared" si="18"/>
        <v>15.656964656964657</v>
      </c>
      <c r="S113" s="5">
        <f t="shared" si="19"/>
        <v>2.0374220374220373E-5</v>
      </c>
      <c r="T113" s="2">
        <f t="shared" si="20"/>
        <v>768469.38775510201</v>
      </c>
    </row>
    <row r="114" spans="1:20" x14ac:dyDescent="0.3">
      <c r="A114">
        <v>113</v>
      </c>
      <c r="B114" t="s">
        <v>525</v>
      </c>
      <c r="C114">
        <v>85</v>
      </c>
      <c r="D114">
        <f t="shared" si="13"/>
        <v>3500</v>
      </c>
      <c r="E114" s="3" t="s">
        <v>140</v>
      </c>
      <c r="F114" s="3">
        <f t="shared" si="21"/>
        <v>47700000</v>
      </c>
      <c r="G114" s="3" t="s">
        <v>526</v>
      </c>
      <c r="H114" s="3">
        <f t="shared" si="11"/>
        <v>452600</v>
      </c>
      <c r="I114" s="2" t="s">
        <v>527</v>
      </c>
      <c r="J114" s="1">
        <v>4.1000000000000003E-3</v>
      </c>
      <c r="K114" s="2">
        <f t="shared" si="14"/>
        <v>189600</v>
      </c>
      <c r="L114" s="2" t="s">
        <v>528</v>
      </c>
      <c r="M114" s="2">
        <f t="shared" si="15"/>
        <v>1600000000</v>
      </c>
      <c r="N114" s="2" t="s">
        <v>121</v>
      </c>
      <c r="O114" t="s">
        <v>891</v>
      </c>
      <c r="P114" s="2">
        <f t="shared" si="16"/>
        <v>0.39748427672955977</v>
      </c>
      <c r="Q114" s="4">
        <f t="shared" si="17"/>
        <v>-58.108705258506411</v>
      </c>
      <c r="R114" s="2">
        <f t="shared" si="18"/>
        <v>33.542976939203356</v>
      </c>
      <c r="S114" s="5">
        <f t="shared" si="19"/>
        <v>7.3375262054507334E-5</v>
      </c>
      <c r="T114" s="2">
        <f t="shared" si="20"/>
        <v>457142.85714285716</v>
      </c>
    </row>
    <row r="115" spans="1:20" x14ac:dyDescent="0.3">
      <c r="A115">
        <v>114</v>
      </c>
      <c r="B115" t="s">
        <v>529</v>
      </c>
      <c r="C115">
        <v>81</v>
      </c>
      <c r="D115">
        <f t="shared" si="13"/>
        <v>2300</v>
      </c>
      <c r="E115" s="3" t="s">
        <v>161</v>
      </c>
      <c r="F115" s="3">
        <f t="shared" si="21"/>
        <v>47300000</v>
      </c>
      <c r="G115" s="3" t="s">
        <v>530</v>
      </c>
      <c r="H115" s="3">
        <f t="shared" si="11"/>
        <v>728200</v>
      </c>
      <c r="I115" s="2" t="s">
        <v>531</v>
      </c>
      <c r="J115" s="1">
        <v>2.8999999999999998E-3</v>
      </c>
      <c r="K115" s="2">
        <f t="shared" si="14"/>
        <v>133000</v>
      </c>
      <c r="L115" s="2" t="s">
        <v>532</v>
      </c>
      <c r="M115" s="2">
        <f t="shared" si="15"/>
        <v>1700000000</v>
      </c>
      <c r="N115" s="2" t="s">
        <v>300</v>
      </c>
      <c r="O115" t="s">
        <v>533</v>
      </c>
      <c r="P115" s="2">
        <f t="shared" si="16"/>
        <v>0.28118393234672306</v>
      </c>
      <c r="Q115" s="4">
        <f t="shared" si="17"/>
        <v>-81.73578687173854</v>
      </c>
      <c r="R115" s="2">
        <f t="shared" si="18"/>
        <v>35.940803382663844</v>
      </c>
      <c r="S115" s="5">
        <f t="shared" si="19"/>
        <v>4.8625792811839321E-5</v>
      </c>
      <c r="T115" s="2">
        <f t="shared" si="20"/>
        <v>739130.43478260865</v>
      </c>
    </row>
    <row r="116" spans="1:20" x14ac:dyDescent="0.3">
      <c r="A116">
        <v>115</v>
      </c>
      <c r="B116" t="s">
        <v>534</v>
      </c>
      <c r="C116">
        <v>57</v>
      </c>
      <c r="D116">
        <f t="shared" si="13"/>
        <v>590</v>
      </c>
      <c r="E116" s="3" t="s">
        <v>535</v>
      </c>
      <c r="F116" s="3">
        <f t="shared" si="21"/>
        <v>46900000</v>
      </c>
      <c r="G116" s="3" t="s">
        <v>536</v>
      </c>
      <c r="H116" s="3">
        <f t="shared" si="11"/>
        <v>4700000</v>
      </c>
      <c r="I116" s="2" t="s">
        <v>461</v>
      </c>
      <c r="J116" s="1">
        <v>6.3799999999999996E-2</v>
      </c>
      <c r="K116" s="2">
        <f t="shared" si="14"/>
        <v>2900000</v>
      </c>
      <c r="L116" s="2" t="s">
        <v>46</v>
      </c>
      <c r="M116" s="2">
        <f t="shared" si="15"/>
        <v>2800000000</v>
      </c>
      <c r="N116" s="2" t="s">
        <v>251</v>
      </c>
      <c r="O116" t="s">
        <v>23</v>
      </c>
      <c r="P116" s="2">
        <f t="shared" si="16"/>
        <v>6.1833688699360341</v>
      </c>
      <c r="Q116" s="4">
        <f t="shared" si="17"/>
        <v>-38.297872340425535</v>
      </c>
      <c r="R116" s="2">
        <f t="shared" si="18"/>
        <v>59.701492537313435</v>
      </c>
      <c r="S116" s="5">
        <f t="shared" si="19"/>
        <v>1.257995735607676E-5</v>
      </c>
      <c r="T116" s="2">
        <f t="shared" si="20"/>
        <v>4745762.7118644072</v>
      </c>
    </row>
    <row r="117" spans="1:20" x14ac:dyDescent="0.3">
      <c r="A117">
        <v>116</v>
      </c>
      <c r="B117" t="s">
        <v>537</v>
      </c>
      <c r="C117">
        <v>85</v>
      </c>
      <c r="D117">
        <f t="shared" si="13"/>
        <v>2100</v>
      </c>
      <c r="E117" s="3" t="s">
        <v>432</v>
      </c>
      <c r="F117" s="3">
        <f t="shared" si="21"/>
        <v>46900000</v>
      </c>
      <c r="G117" s="3" t="s">
        <v>536</v>
      </c>
      <c r="H117" s="3">
        <f t="shared" si="11"/>
        <v>2000000</v>
      </c>
      <c r="I117" s="2" t="s">
        <v>58</v>
      </c>
      <c r="J117" s="1">
        <v>3.4700000000000002E-2</v>
      </c>
      <c r="K117" s="2">
        <f t="shared" si="14"/>
        <v>1600000</v>
      </c>
      <c r="L117" s="2" t="s">
        <v>214</v>
      </c>
      <c r="M117" s="2">
        <f t="shared" si="15"/>
        <v>4200000000</v>
      </c>
      <c r="N117" s="2" t="s">
        <v>168</v>
      </c>
      <c r="O117" t="s">
        <v>891</v>
      </c>
      <c r="P117" s="2">
        <f t="shared" si="16"/>
        <v>3.4115138592750531</v>
      </c>
      <c r="Q117" s="4">
        <f t="shared" si="17"/>
        <v>-20</v>
      </c>
      <c r="R117" s="2">
        <f t="shared" si="18"/>
        <v>89.552238805970148</v>
      </c>
      <c r="S117" s="5">
        <f t="shared" si="19"/>
        <v>4.4776119402985078E-5</v>
      </c>
      <c r="T117" s="2">
        <f t="shared" si="20"/>
        <v>2000000</v>
      </c>
    </row>
    <row r="118" spans="1:20" x14ac:dyDescent="0.3">
      <c r="A118">
        <v>117</v>
      </c>
      <c r="B118" t="s">
        <v>538</v>
      </c>
      <c r="C118">
        <v>84</v>
      </c>
      <c r="D118">
        <f t="shared" si="13"/>
        <v>4200</v>
      </c>
      <c r="E118" s="3" t="s">
        <v>539</v>
      </c>
      <c r="F118" s="3">
        <f t="shared" si="21"/>
        <v>46800000</v>
      </c>
      <c r="G118" s="3" t="s">
        <v>540</v>
      </c>
      <c r="H118" s="3">
        <f t="shared" si="11"/>
        <v>633900</v>
      </c>
      <c r="I118" s="2" t="s">
        <v>541</v>
      </c>
      <c r="J118" s="1">
        <v>6.3E-3</v>
      </c>
      <c r="K118" s="2">
        <f t="shared" si="14"/>
        <v>292900</v>
      </c>
      <c r="L118" s="2" t="s">
        <v>542</v>
      </c>
      <c r="M118" s="2">
        <f t="shared" si="15"/>
        <v>2700000000</v>
      </c>
      <c r="N118" s="2" t="s">
        <v>543</v>
      </c>
      <c r="O118" t="s">
        <v>23</v>
      </c>
      <c r="P118" s="2">
        <f t="shared" si="16"/>
        <v>0.62585470085470085</v>
      </c>
      <c r="Q118" s="4">
        <f t="shared" si="17"/>
        <v>-53.793973812904241</v>
      </c>
      <c r="R118" s="2">
        <f t="shared" si="18"/>
        <v>57.692307692307693</v>
      </c>
      <c r="S118" s="5">
        <f t="shared" si="19"/>
        <v>8.9743589743589749E-5</v>
      </c>
      <c r="T118" s="2">
        <f t="shared" si="20"/>
        <v>642857.14285714284</v>
      </c>
    </row>
    <row r="119" spans="1:20" x14ac:dyDescent="0.3">
      <c r="A119">
        <v>118</v>
      </c>
      <c r="B119" t="s">
        <v>544</v>
      </c>
      <c r="C119">
        <v>85</v>
      </c>
      <c r="D119">
        <f t="shared" si="13"/>
        <v>10000</v>
      </c>
      <c r="E119" s="3" t="s">
        <v>79</v>
      </c>
      <c r="F119" s="3">
        <f t="shared" si="21"/>
        <v>46500000</v>
      </c>
      <c r="G119" s="3" t="s">
        <v>545</v>
      </c>
      <c r="H119" s="3">
        <f t="shared" si="11"/>
        <v>157000</v>
      </c>
      <c r="I119" s="2" t="s">
        <v>546</v>
      </c>
      <c r="J119" s="1">
        <v>2.9999999999999997E-4</v>
      </c>
      <c r="K119" s="2">
        <f t="shared" si="14"/>
        <v>12400</v>
      </c>
      <c r="L119" s="2" t="s">
        <v>547</v>
      </c>
      <c r="M119" s="2">
        <f t="shared" si="15"/>
        <v>1600000000</v>
      </c>
      <c r="N119" s="2" t="s">
        <v>121</v>
      </c>
      <c r="O119" t="s">
        <v>23</v>
      </c>
      <c r="P119" s="2">
        <f t="shared" si="16"/>
        <v>2.6666666666666668E-2</v>
      </c>
      <c r="Q119" s="4">
        <f t="shared" si="17"/>
        <v>-92.101910828025481</v>
      </c>
      <c r="R119" s="2">
        <f t="shared" si="18"/>
        <v>34.408602150537632</v>
      </c>
      <c r="S119" s="5">
        <f t="shared" si="19"/>
        <v>2.1505376344086021E-4</v>
      </c>
      <c r="T119" s="2">
        <f t="shared" si="20"/>
        <v>160000</v>
      </c>
    </row>
    <row r="120" spans="1:20" x14ac:dyDescent="0.3">
      <c r="A120">
        <v>119</v>
      </c>
      <c r="B120" t="s">
        <v>548</v>
      </c>
      <c r="C120">
        <v>82</v>
      </c>
      <c r="D120">
        <f t="shared" si="13"/>
        <v>160</v>
      </c>
      <c r="E120" s="3" t="s">
        <v>549</v>
      </c>
      <c r="F120" s="3">
        <f t="shared" si="21"/>
        <v>46500000</v>
      </c>
      <c r="G120" s="3" t="s">
        <v>545</v>
      </c>
      <c r="H120" s="3">
        <f t="shared" si="11"/>
        <v>4700000</v>
      </c>
      <c r="I120" s="2" t="s">
        <v>461</v>
      </c>
      <c r="J120" s="1">
        <v>8.8099999999999998E-2</v>
      </c>
      <c r="K120" s="2">
        <f t="shared" si="14"/>
        <v>4000000</v>
      </c>
      <c r="L120" s="2" t="s">
        <v>378</v>
      </c>
      <c r="M120" s="2">
        <f t="shared" si="15"/>
        <v>773500000</v>
      </c>
      <c r="N120" s="2" t="s">
        <v>550</v>
      </c>
      <c r="O120" t="s">
        <v>23</v>
      </c>
      <c r="P120" s="2">
        <f t="shared" si="16"/>
        <v>8.6021505376344098</v>
      </c>
      <c r="Q120" s="4">
        <f t="shared" si="17"/>
        <v>-14.893617021276595</v>
      </c>
      <c r="R120" s="2">
        <f t="shared" si="18"/>
        <v>16.634408602150536</v>
      </c>
      <c r="S120" s="5">
        <f t="shared" si="19"/>
        <v>3.4408602150537635E-6</v>
      </c>
      <c r="T120" s="2">
        <f t="shared" si="20"/>
        <v>4834375</v>
      </c>
    </row>
    <row r="121" spans="1:20" x14ac:dyDescent="0.3">
      <c r="A121">
        <v>120</v>
      </c>
      <c r="B121" t="s">
        <v>551</v>
      </c>
      <c r="C121">
        <v>85</v>
      </c>
      <c r="D121">
        <f t="shared" si="13"/>
        <v>5200</v>
      </c>
      <c r="E121" s="3" t="s">
        <v>175</v>
      </c>
      <c r="F121" s="3">
        <f t="shared" si="21"/>
        <v>46500000</v>
      </c>
      <c r="G121" s="3" t="s">
        <v>545</v>
      </c>
      <c r="H121" s="3">
        <f t="shared" ref="H121:H184" si="22">IF(RIGHT(I121,1)="k", VALUE(LEFT(I121,LEN(I121)-1))*1000,
 IF(RIGHT(I121,1)="m", VALUE(LEFT(I121,LEN(I121)-1))*1000000,
 IF(RIGHT(I121,1)="b", VALUE(LEFT(I121,LEN(I121)-1))*1000000000,
 VALUE(I121))))</f>
        <v>579600</v>
      </c>
      <c r="I121" s="2" t="s">
        <v>552</v>
      </c>
      <c r="J121" s="1">
        <v>5.7000000000000002E-3</v>
      </c>
      <c r="K121" s="2">
        <f t="shared" si="14"/>
        <v>259399.99999999997</v>
      </c>
      <c r="L121" s="2" t="s">
        <v>553</v>
      </c>
      <c r="M121" s="2">
        <f t="shared" si="15"/>
        <v>3000000000</v>
      </c>
      <c r="N121" s="2" t="s">
        <v>83</v>
      </c>
      <c r="O121" t="s">
        <v>127</v>
      </c>
      <c r="P121" s="2">
        <f t="shared" si="16"/>
        <v>0.5578494623655913</v>
      </c>
      <c r="Q121" s="4">
        <f t="shared" si="17"/>
        <v>-55.244996549344371</v>
      </c>
      <c r="R121" s="2">
        <f t="shared" si="18"/>
        <v>64.516129032258064</v>
      </c>
      <c r="S121" s="5">
        <f t="shared" si="19"/>
        <v>1.1182795698924731E-4</v>
      </c>
      <c r="T121" s="2">
        <f t="shared" si="20"/>
        <v>576923.07692307688</v>
      </c>
    </row>
    <row r="122" spans="1:20" x14ac:dyDescent="0.3">
      <c r="A122">
        <v>121</v>
      </c>
      <c r="B122" t="s">
        <v>554</v>
      </c>
      <c r="C122">
        <v>78</v>
      </c>
      <c r="D122">
        <f t="shared" si="13"/>
        <v>3200</v>
      </c>
      <c r="E122" s="3" t="s">
        <v>96</v>
      </c>
      <c r="F122" s="3">
        <f t="shared" si="21"/>
        <v>46200000</v>
      </c>
      <c r="G122" s="3" t="s">
        <v>555</v>
      </c>
      <c r="H122" s="3">
        <f t="shared" si="22"/>
        <v>3000000</v>
      </c>
      <c r="I122" s="2" t="s">
        <v>423</v>
      </c>
      <c r="J122" s="1">
        <v>5.7099999999999998E-2</v>
      </c>
      <c r="K122" s="2">
        <f t="shared" si="14"/>
        <v>2600000</v>
      </c>
      <c r="L122" s="2" t="s">
        <v>556</v>
      </c>
      <c r="M122" s="2">
        <f t="shared" si="15"/>
        <v>9600000000</v>
      </c>
      <c r="N122" s="2" t="s">
        <v>557</v>
      </c>
      <c r="O122" t="s">
        <v>23</v>
      </c>
      <c r="P122" s="2">
        <f t="shared" si="16"/>
        <v>5.6277056277056277</v>
      </c>
      <c r="Q122" s="4">
        <f t="shared" si="17"/>
        <v>-13.333333333333334</v>
      </c>
      <c r="R122" s="2">
        <f t="shared" si="18"/>
        <v>207.79220779220779</v>
      </c>
      <c r="S122" s="5">
        <f t="shared" si="19"/>
        <v>6.9264069264069259E-5</v>
      </c>
      <c r="T122" s="2">
        <f t="shared" si="20"/>
        <v>3000000</v>
      </c>
    </row>
    <row r="123" spans="1:20" x14ac:dyDescent="0.3">
      <c r="A123">
        <v>122</v>
      </c>
      <c r="B123" t="s">
        <v>558</v>
      </c>
      <c r="C123">
        <v>82</v>
      </c>
      <c r="D123">
        <f t="shared" si="13"/>
        <v>3200</v>
      </c>
      <c r="E123" s="3" t="s">
        <v>96</v>
      </c>
      <c r="F123" s="3">
        <f t="shared" si="21"/>
        <v>45900000</v>
      </c>
      <c r="G123" s="3" t="s">
        <v>559</v>
      </c>
      <c r="H123" s="3">
        <f t="shared" si="22"/>
        <v>1100000</v>
      </c>
      <c r="I123" s="2" t="s">
        <v>153</v>
      </c>
      <c r="J123" s="1">
        <v>6.8999999999999999E-3</v>
      </c>
      <c r="K123" s="2">
        <f t="shared" si="14"/>
        <v>311500</v>
      </c>
      <c r="L123" s="2" t="s">
        <v>560</v>
      </c>
      <c r="M123" s="2">
        <f t="shared" si="15"/>
        <v>3500000000</v>
      </c>
      <c r="N123" s="2" t="s">
        <v>255</v>
      </c>
      <c r="O123" t="s">
        <v>23</v>
      </c>
      <c r="P123" s="2">
        <f t="shared" si="16"/>
        <v>0.67864923747276684</v>
      </c>
      <c r="Q123" s="4">
        <f t="shared" si="17"/>
        <v>-71.681818181818187</v>
      </c>
      <c r="R123" s="2">
        <f t="shared" si="18"/>
        <v>76.252723311546845</v>
      </c>
      <c r="S123" s="5">
        <f t="shared" si="19"/>
        <v>6.9716775599128536E-5</v>
      </c>
      <c r="T123" s="2">
        <f t="shared" si="20"/>
        <v>1093750</v>
      </c>
    </row>
    <row r="124" spans="1:20" x14ac:dyDescent="0.3">
      <c r="A124">
        <v>123</v>
      </c>
      <c r="B124" t="s">
        <v>561</v>
      </c>
      <c r="C124">
        <v>80</v>
      </c>
      <c r="D124">
        <f t="shared" si="13"/>
        <v>20</v>
      </c>
      <c r="E124" s="3" t="s">
        <v>562</v>
      </c>
      <c r="F124" s="3">
        <f t="shared" si="21"/>
        <v>45900000</v>
      </c>
      <c r="G124" s="3" t="s">
        <v>559</v>
      </c>
      <c r="H124" s="3">
        <f t="shared" si="22"/>
        <v>652500</v>
      </c>
      <c r="I124" s="2" t="s">
        <v>563</v>
      </c>
      <c r="J124" s="1">
        <v>0.01</v>
      </c>
      <c r="K124" s="2">
        <f t="shared" si="14"/>
        <v>455300</v>
      </c>
      <c r="L124" s="2" t="s">
        <v>564</v>
      </c>
      <c r="M124" s="2">
        <f t="shared" si="15"/>
        <v>18300000</v>
      </c>
      <c r="N124" s="2" t="s">
        <v>565</v>
      </c>
      <c r="O124" t="s">
        <v>566</v>
      </c>
      <c r="P124" s="2">
        <f t="shared" si="16"/>
        <v>0.99193899782135075</v>
      </c>
      <c r="Q124" s="4">
        <f t="shared" si="17"/>
        <v>-30.222222222222221</v>
      </c>
      <c r="R124" s="2">
        <f t="shared" si="18"/>
        <v>0.39869281045751637</v>
      </c>
      <c r="S124" s="5">
        <f t="shared" si="19"/>
        <v>4.3572984749455339E-7</v>
      </c>
      <c r="T124" s="2">
        <f t="shared" si="20"/>
        <v>915000</v>
      </c>
    </row>
    <row r="125" spans="1:20" x14ac:dyDescent="0.3">
      <c r="A125">
        <v>124</v>
      </c>
      <c r="B125" t="s">
        <v>567</v>
      </c>
      <c r="C125">
        <v>82</v>
      </c>
      <c r="D125">
        <f t="shared" si="13"/>
        <v>16900</v>
      </c>
      <c r="E125" s="3" t="s">
        <v>568</v>
      </c>
      <c r="F125" s="3">
        <f t="shared" si="21"/>
        <v>45800000</v>
      </c>
      <c r="G125" s="3" t="s">
        <v>569</v>
      </c>
      <c r="H125" s="3">
        <f t="shared" si="22"/>
        <v>189900</v>
      </c>
      <c r="I125" s="2" t="s">
        <v>570</v>
      </c>
      <c r="J125" s="1">
        <v>1.1999999999999999E-3</v>
      </c>
      <c r="K125" s="2">
        <f t="shared" si="14"/>
        <v>52800</v>
      </c>
      <c r="L125" s="2" t="s">
        <v>571</v>
      </c>
      <c r="M125" s="2">
        <f t="shared" si="15"/>
        <v>3200000000</v>
      </c>
      <c r="N125" s="2" t="s">
        <v>572</v>
      </c>
      <c r="O125" t="s">
        <v>23</v>
      </c>
      <c r="P125" s="2">
        <f t="shared" si="16"/>
        <v>0.11528384279475984</v>
      </c>
      <c r="Q125" s="4">
        <f t="shared" si="17"/>
        <v>-72.195892575039494</v>
      </c>
      <c r="R125" s="2">
        <f t="shared" si="18"/>
        <v>69.86899563318778</v>
      </c>
      <c r="S125" s="5">
        <f t="shared" si="19"/>
        <v>3.6899563318777294E-4</v>
      </c>
      <c r="T125" s="2">
        <f t="shared" si="20"/>
        <v>189349.11242603551</v>
      </c>
    </row>
    <row r="126" spans="1:20" x14ac:dyDescent="0.3">
      <c r="A126">
        <v>125</v>
      </c>
      <c r="B126" t="s">
        <v>573</v>
      </c>
      <c r="C126">
        <v>85</v>
      </c>
      <c r="D126">
        <f t="shared" si="13"/>
        <v>1800</v>
      </c>
      <c r="E126" s="3" t="s">
        <v>31</v>
      </c>
      <c r="F126" s="3">
        <f t="shared" si="21"/>
        <v>45400000</v>
      </c>
      <c r="G126" s="3" t="s">
        <v>574</v>
      </c>
      <c r="H126" s="3">
        <f t="shared" si="22"/>
        <v>431200</v>
      </c>
      <c r="I126" s="2" t="s">
        <v>575</v>
      </c>
      <c r="J126" s="1">
        <v>4.4000000000000003E-3</v>
      </c>
      <c r="K126" s="2">
        <f t="shared" si="14"/>
        <v>199800</v>
      </c>
      <c r="L126" s="2" t="s">
        <v>576</v>
      </c>
      <c r="M126" s="2">
        <f t="shared" si="15"/>
        <v>784000000</v>
      </c>
      <c r="N126" s="2" t="s">
        <v>577</v>
      </c>
      <c r="O126" t="s">
        <v>23</v>
      </c>
      <c r="P126" s="2">
        <f t="shared" si="16"/>
        <v>0.44008810572687224</v>
      </c>
      <c r="Q126" s="4">
        <f t="shared" si="17"/>
        <v>-53.664192949907232</v>
      </c>
      <c r="R126" s="2">
        <f t="shared" si="18"/>
        <v>17.268722466960352</v>
      </c>
      <c r="S126" s="5">
        <f t="shared" si="19"/>
        <v>3.9647577092511014E-5</v>
      </c>
      <c r="T126" s="2">
        <f t="shared" si="20"/>
        <v>435555.55555555556</v>
      </c>
    </row>
    <row r="127" spans="1:20" x14ac:dyDescent="0.3">
      <c r="A127">
        <v>126</v>
      </c>
      <c r="B127" t="s">
        <v>578</v>
      </c>
      <c r="C127">
        <v>84</v>
      </c>
      <c r="D127">
        <f t="shared" si="13"/>
        <v>1100</v>
      </c>
      <c r="E127" s="3" t="s">
        <v>473</v>
      </c>
      <c r="F127" s="3">
        <f t="shared" si="21"/>
        <v>45400000</v>
      </c>
      <c r="G127" s="3" t="s">
        <v>574</v>
      </c>
      <c r="H127" s="3">
        <f t="shared" si="22"/>
        <v>1100000</v>
      </c>
      <c r="I127" s="2" t="s">
        <v>153</v>
      </c>
      <c r="J127" s="1">
        <v>2.76E-2</v>
      </c>
      <c r="K127" s="2">
        <f t="shared" si="14"/>
        <v>1200000</v>
      </c>
      <c r="L127" s="2" t="s">
        <v>163</v>
      </c>
      <c r="M127" s="2">
        <f t="shared" si="15"/>
        <v>1200000000</v>
      </c>
      <c r="N127" s="2" t="s">
        <v>579</v>
      </c>
      <c r="O127" t="s">
        <v>891</v>
      </c>
      <c r="P127" s="2">
        <f t="shared" si="16"/>
        <v>2.643171806167401</v>
      </c>
      <c r="Q127" s="4">
        <f t="shared" si="17"/>
        <v>9.0909090909090917</v>
      </c>
      <c r="R127" s="2">
        <f t="shared" si="18"/>
        <v>26.431718061674008</v>
      </c>
      <c r="S127" s="5">
        <f t="shared" si="19"/>
        <v>2.4229074889867841E-5</v>
      </c>
      <c r="T127" s="2">
        <f t="shared" si="20"/>
        <v>1090909.0909090908</v>
      </c>
    </row>
    <row r="128" spans="1:20" x14ac:dyDescent="0.3">
      <c r="A128">
        <v>127</v>
      </c>
      <c r="B128" t="s">
        <v>580</v>
      </c>
      <c r="C128">
        <v>86</v>
      </c>
      <c r="D128">
        <f t="shared" si="13"/>
        <v>680</v>
      </c>
      <c r="E128" s="3" t="s">
        <v>581</v>
      </c>
      <c r="F128" s="3">
        <f t="shared" si="21"/>
        <v>44800000</v>
      </c>
      <c r="G128" s="3" t="s">
        <v>582</v>
      </c>
      <c r="H128" s="3">
        <f t="shared" si="22"/>
        <v>1400000</v>
      </c>
      <c r="I128" s="2" t="s">
        <v>99</v>
      </c>
      <c r="J128" s="1">
        <v>2.6100000000000002E-2</v>
      </c>
      <c r="K128" s="2">
        <f t="shared" si="14"/>
        <v>1200000</v>
      </c>
      <c r="L128" s="2" t="s">
        <v>163</v>
      </c>
      <c r="M128" s="2">
        <f t="shared" si="15"/>
        <v>925700000</v>
      </c>
      <c r="N128" s="2" t="s">
        <v>583</v>
      </c>
      <c r="O128" t="s">
        <v>891</v>
      </c>
      <c r="P128" s="2">
        <f t="shared" si="16"/>
        <v>2.6785714285714284</v>
      </c>
      <c r="Q128" s="4">
        <f t="shared" si="17"/>
        <v>-14.285714285714285</v>
      </c>
      <c r="R128" s="2">
        <f t="shared" si="18"/>
        <v>20.662946428571427</v>
      </c>
      <c r="S128" s="5">
        <f t="shared" si="19"/>
        <v>1.5178571428571429E-5</v>
      </c>
      <c r="T128" s="2">
        <f t="shared" si="20"/>
        <v>1361323.5294117648</v>
      </c>
    </row>
    <row r="129" spans="1:20" x14ac:dyDescent="0.3">
      <c r="A129">
        <v>128</v>
      </c>
      <c r="B129" t="s">
        <v>584</v>
      </c>
      <c r="C129">
        <v>42</v>
      </c>
      <c r="D129">
        <f t="shared" si="13"/>
        <v>1500</v>
      </c>
      <c r="E129" s="3" t="s">
        <v>236</v>
      </c>
      <c r="F129" s="3">
        <f t="shared" si="21"/>
        <v>44500000</v>
      </c>
      <c r="G129" s="3" t="s">
        <v>585</v>
      </c>
      <c r="H129" s="3">
        <f t="shared" si="22"/>
        <v>553000</v>
      </c>
      <c r="I129" s="2" t="s">
        <v>586</v>
      </c>
      <c r="J129" s="1">
        <v>6.7000000000000002E-3</v>
      </c>
      <c r="K129" s="2">
        <f t="shared" si="14"/>
        <v>294100</v>
      </c>
      <c r="L129" s="2" t="s">
        <v>587</v>
      </c>
      <c r="M129" s="2">
        <f t="shared" si="15"/>
        <v>820100000</v>
      </c>
      <c r="N129" s="2" t="s">
        <v>588</v>
      </c>
      <c r="O129" t="s">
        <v>127</v>
      </c>
      <c r="P129" s="2">
        <f t="shared" si="16"/>
        <v>0.66089887640449441</v>
      </c>
      <c r="Q129" s="4">
        <f t="shared" si="17"/>
        <v>-46.817359855334537</v>
      </c>
      <c r="R129" s="2">
        <f t="shared" si="18"/>
        <v>18.429213483146068</v>
      </c>
      <c r="S129" s="5">
        <f t="shared" si="19"/>
        <v>3.3707865168539323E-5</v>
      </c>
      <c r="T129" s="2">
        <f t="shared" si="20"/>
        <v>546733.33333333337</v>
      </c>
    </row>
    <row r="130" spans="1:20" x14ac:dyDescent="0.3">
      <c r="A130">
        <v>129</v>
      </c>
      <c r="B130" t="s">
        <v>589</v>
      </c>
      <c r="C130">
        <v>85</v>
      </c>
      <c r="D130">
        <f t="shared" si="13"/>
        <v>970</v>
      </c>
      <c r="E130" s="3" t="s">
        <v>590</v>
      </c>
      <c r="F130" s="3">
        <f t="shared" ref="F130:F161" si="23">IF(RIGHT(G130,1)="m",VALUE(LEFT(G130,LEN(G130)-1))*1000000)</f>
        <v>44200000</v>
      </c>
      <c r="G130" s="3" t="s">
        <v>591</v>
      </c>
      <c r="H130" s="3">
        <f t="shared" si="22"/>
        <v>801800</v>
      </c>
      <c r="I130" s="2" t="s">
        <v>592</v>
      </c>
      <c r="J130" s="1">
        <v>9.5999999999999992E-3</v>
      </c>
      <c r="K130" s="2">
        <f t="shared" si="14"/>
        <v>414800</v>
      </c>
      <c r="L130" s="2" t="s">
        <v>593</v>
      </c>
      <c r="M130" s="2">
        <f t="shared" si="15"/>
        <v>782500000</v>
      </c>
      <c r="N130" s="2" t="s">
        <v>594</v>
      </c>
      <c r="O130" t="s">
        <v>891</v>
      </c>
      <c r="P130" s="2">
        <f t="shared" si="16"/>
        <v>0.93846153846153857</v>
      </c>
      <c r="Q130" s="4">
        <f t="shared" si="17"/>
        <v>-48.266400598653028</v>
      </c>
      <c r="R130" s="2">
        <f t="shared" si="18"/>
        <v>17.703619909502262</v>
      </c>
      <c r="S130" s="5">
        <f t="shared" si="19"/>
        <v>2.1945701357466062E-5</v>
      </c>
      <c r="T130" s="2">
        <f t="shared" si="20"/>
        <v>806701.03092783503</v>
      </c>
    </row>
    <row r="131" spans="1:20" x14ac:dyDescent="0.3">
      <c r="A131">
        <v>130</v>
      </c>
      <c r="B131" t="s">
        <v>595</v>
      </c>
      <c r="C131">
        <v>76</v>
      </c>
      <c r="D131">
        <f t="shared" ref="D131:D194" si="24">IF(RIGHT(E131,1)="k",VALUE(LEFT(E131,LEN(E131)-1))*1000)</f>
        <v>4900</v>
      </c>
      <c r="E131" s="3" t="s">
        <v>596</v>
      </c>
      <c r="F131" s="3">
        <f t="shared" si="23"/>
        <v>43900000</v>
      </c>
      <c r="G131" s="3" t="s">
        <v>597</v>
      </c>
      <c r="H131" s="3">
        <f t="shared" si="22"/>
        <v>475100</v>
      </c>
      <c r="I131" s="2" t="s">
        <v>598</v>
      </c>
      <c r="J131" s="1">
        <v>7.1000000000000004E-3</v>
      </c>
      <c r="K131" s="2">
        <f t="shared" ref="K131:K194" si="25">IF(RIGHT(L131,1)="k", VALUE(LEFT(L131,LEN(L131)-1))*1000,
 IF(RIGHT(L131,1)="m", VALUE(LEFT(L131,LEN(L131)-1))*1000000,
 IF(RIGHT(L131,1)="b", VALUE(LEFT(L131,LEN(L131)-1))*1000000000,
 VALUE(L131))))</f>
        <v>303900</v>
      </c>
      <c r="L131" s="2" t="s">
        <v>599</v>
      </c>
      <c r="M131" s="2">
        <f t="shared" ref="M131:M194" si="26">IF(RIGHT(N131,1)="k", VALUE(LEFT(N131,LEN(N131)-1))*1000,
 IF(RIGHT(N131,1)="m", VALUE(LEFT(N131,LEN(N131)-1))*1000000,
 IF(RIGHT(N131,1)="b", VALUE(LEFT(N131,LEN(N131)-1))*1000000000,
 VALUE(N131))))</f>
        <v>2300000000</v>
      </c>
      <c r="N131" s="2" t="s">
        <v>204</v>
      </c>
      <c r="O131" t="s">
        <v>127</v>
      </c>
      <c r="P131" s="2">
        <f t="shared" ref="P131:P194" si="27">(K131 / F131) * 100</f>
        <v>0.69225512528473798</v>
      </c>
      <c r="Q131" s="4">
        <f t="shared" ref="Q131:Q194" si="28">((K131 - H131) / H131) * 100</f>
        <v>-36.034519048621341</v>
      </c>
      <c r="R131" s="2">
        <f t="shared" ref="R131:R194" si="29">M131 / F131</f>
        <v>52.391799544419136</v>
      </c>
      <c r="S131" s="5">
        <f t="shared" ref="S131:S194" si="30">D131 / F131</f>
        <v>1.1161731207289294E-4</v>
      </c>
      <c r="T131" s="2">
        <f t="shared" ref="T131:T194" si="31">M131 / D131</f>
        <v>469387.75510204083</v>
      </c>
    </row>
    <row r="132" spans="1:20" x14ac:dyDescent="0.3">
      <c r="A132">
        <v>131</v>
      </c>
      <c r="B132" t="s">
        <v>600</v>
      </c>
      <c r="C132">
        <v>84</v>
      </c>
      <c r="D132">
        <f t="shared" si="24"/>
        <v>1600</v>
      </c>
      <c r="E132" s="3" t="s">
        <v>146</v>
      </c>
      <c r="F132" s="3">
        <f t="shared" si="23"/>
        <v>43800000</v>
      </c>
      <c r="G132" s="3" t="s">
        <v>601</v>
      </c>
      <c r="H132" s="3">
        <f t="shared" si="22"/>
        <v>1300000</v>
      </c>
      <c r="I132" s="2" t="s">
        <v>115</v>
      </c>
      <c r="J132" s="1">
        <v>2.18E-2</v>
      </c>
      <c r="K132" s="2">
        <f t="shared" si="25"/>
        <v>944300</v>
      </c>
      <c r="L132" s="2" t="s">
        <v>602</v>
      </c>
      <c r="M132" s="2">
        <f t="shared" si="26"/>
        <v>2200000000</v>
      </c>
      <c r="N132" s="2" t="s">
        <v>362</v>
      </c>
      <c r="O132" t="s">
        <v>891</v>
      </c>
      <c r="P132" s="2">
        <f t="shared" si="27"/>
        <v>2.1559360730593604</v>
      </c>
      <c r="Q132" s="4">
        <f t="shared" si="28"/>
        <v>-27.361538461538458</v>
      </c>
      <c r="R132" s="2">
        <f t="shared" si="29"/>
        <v>50.228310502283108</v>
      </c>
      <c r="S132" s="5">
        <f t="shared" si="30"/>
        <v>3.6529680365296805E-5</v>
      </c>
      <c r="T132" s="2">
        <f t="shared" si="31"/>
        <v>1375000</v>
      </c>
    </row>
    <row r="133" spans="1:20" x14ac:dyDescent="0.3">
      <c r="A133">
        <v>132</v>
      </c>
      <c r="B133" t="s">
        <v>603</v>
      </c>
      <c r="C133">
        <v>84</v>
      </c>
      <c r="D133">
        <f t="shared" si="24"/>
        <v>1900</v>
      </c>
      <c r="E133" s="3" t="s">
        <v>240</v>
      </c>
      <c r="F133" s="3">
        <f t="shared" si="23"/>
        <v>43800000</v>
      </c>
      <c r="G133" s="3" t="s">
        <v>601</v>
      </c>
      <c r="H133" s="3">
        <f t="shared" si="22"/>
        <v>1100000</v>
      </c>
      <c r="I133" s="2" t="s">
        <v>153</v>
      </c>
      <c r="J133" s="1">
        <v>1.4800000000000001E-2</v>
      </c>
      <c r="K133" s="2">
        <f t="shared" si="25"/>
        <v>640500</v>
      </c>
      <c r="L133" s="2" t="s">
        <v>604</v>
      </c>
      <c r="M133" s="2">
        <f t="shared" si="26"/>
        <v>2000000000</v>
      </c>
      <c r="N133" s="2" t="s">
        <v>231</v>
      </c>
      <c r="O133" t="s">
        <v>256</v>
      </c>
      <c r="P133" s="2">
        <f t="shared" si="27"/>
        <v>1.4623287671232876</v>
      </c>
      <c r="Q133" s="4">
        <f t="shared" si="28"/>
        <v>-41.772727272727273</v>
      </c>
      <c r="R133" s="2">
        <f t="shared" si="29"/>
        <v>45.662100456621005</v>
      </c>
      <c r="S133" s="5">
        <f t="shared" si="30"/>
        <v>4.3378995433789952E-5</v>
      </c>
      <c r="T133" s="2">
        <f t="shared" si="31"/>
        <v>1052631.5789473683</v>
      </c>
    </row>
    <row r="134" spans="1:20" x14ac:dyDescent="0.3">
      <c r="A134">
        <v>133</v>
      </c>
      <c r="B134" t="s">
        <v>605</v>
      </c>
      <c r="C134">
        <v>85</v>
      </c>
      <c r="D134">
        <f t="shared" si="24"/>
        <v>580</v>
      </c>
      <c r="E134" s="3" t="s">
        <v>606</v>
      </c>
      <c r="F134" s="3">
        <f t="shared" si="23"/>
        <v>43700000</v>
      </c>
      <c r="G134" s="3" t="s">
        <v>607</v>
      </c>
      <c r="H134" s="3">
        <f t="shared" si="22"/>
        <v>1600000</v>
      </c>
      <c r="I134" s="2" t="s">
        <v>214</v>
      </c>
      <c r="J134" s="1">
        <v>3.8199999999999998E-2</v>
      </c>
      <c r="K134" s="2">
        <f t="shared" si="25"/>
        <v>1600000</v>
      </c>
      <c r="L134" s="2" t="s">
        <v>214</v>
      </c>
      <c r="M134" s="2">
        <f t="shared" si="26"/>
        <v>949900000</v>
      </c>
      <c r="N134" s="2" t="s">
        <v>608</v>
      </c>
      <c r="O134" t="s">
        <v>609</v>
      </c>
      <c r="P134" s="2">
        <f t="shared" si="27"/>
        <v>3.6613272311212817</v>
      </c>
      <c r="Q134" s="4">
        <f t="shared" si="28"/>
        <v>0</v>
      </c>
      <c r="R134" s="2">
        <f t="shared" si="29"/>
        <v>21.736842105263158</v>
      </c>
      <c r="S134" s="5">
        <f t="shared" si="30"/>
        <v>1.3272311212814645E-5</v>
      </c>
      <c r="T134" s="2">
        <f t="shared" si="31"/>
        <v>1637758.6206896552</v>
      </c>
    </row>
    <row r="135" spans="1:20" x14ac:dyDescent="0.3">
      <c r="A135">
        <v>134</v>
      </c>
      <c r="B135" t="s">
        <v>610</v>
      </c>
      <c r="C135">
        <v>81</v>
      </c>
      <c r="D135">
        <f t="shared" si="24"/>
        <v>10000</v>
      </c>
      <c r="E135" s="3" t="s">
        <v>79</v>
      </c>
      <c r="F135" s="3">
        <f t="shared" si="23"/>
        <v>43400000</v>
      </c>
      <c r="G135" s="3" t="s">
        <v>611</v>
      </c>
      <c r="H135" s="3">
        <f t="shared" si="22"/>
        <v>381600</v>
      </c>
      <c r="I135" s="2" t="s">
        <v>612</v>
      </c>
      <c r="J135" s="1">
        <v>3.3E-3</v>
      </c>
      <c r="K135" s="2">
        <f t="shared" si="25"/>
        <v>139300</v>
      </c>
      <c r="L135" s="2" t="s">
        <v>613</v>
      </c>
      <c r="M135" s="2">
        <f t="shared" si="26"/>
        <v>3800000000</v>
      </c>
      <c r="N135" s="2" t="s">
        <v>333</v>
      </c>
      <c r="O135" t="s">
        <v>337</v>
      </c>
      <c r="P135" s="2">
        <f t="shared" si="27"/>
        <v>0.32096774193548389</v>
      </c>
      <c r="Q135" s="4">
        <f t="shared" si="28"/>
        <v>-63.4958071278826</v>
      </c>
      <c r="R135" s="2">
        <f t="shared" si="29"/>
        <v>87.557603686635943</v>
      </c>
      <c r="S135" s="5">
        <f t="shared" si="30"/>
        <v>2.304147465437788E-4</v>
      </c>
      <c r="T135" s="2">
        <f t="shared" si="31"/>
        <v>380000</v>
      </c>
    </row>
    <row r="136" spans="1:20" x14ac:dyDescent="0.3">
      <c r="A136">
        <v>135</v>
      </c>
      <c r="B136" t="s">
        <v>614</v>
      </c>
      <c r="C136">
        <v>85</v>
      </c>
      <c r="D136">
        <f t="shared" si="24"/>
        <v>8900</v>
      </c>
      <c r="E136" s="3" t="s">
        <v>495</v>
      </c>
      <c r="F136" s="3">
        <f t="shared" si="23"/>
        <v>43200000</v>
      </c>
      <c r="G136" s="3" t="s">
        <v>615</v>
      </c>
      <c r="H136" s="3">
        <f t="shared" si="22"/>
        <v>65099.999999999993</v>
      </c>
      <c r="I136" s="2" t="s">
        <v>616</v>
      </c>
      <c r="J136" s="1">
        <v>2.0000000000000001E-4</v>
      </c>
      <c r="K136" s="2">
        <f t="shared" si="25"/>
        <v>7700</v>
      </c>
      <c r="L136" s="2" t="s">
        <v>617</v>
      </c>
      <c r="M136" s="2">
        <f t="shared" si="26"/>
        <v>580700000</v>
      </c>
      <c r="N136" s="2" t="s">
        <v>618</v>
      </c>
      <c r="O136" t="s">
        <v>16</v>
      </c>
      <c r="P136" s="2">
        <f t="shared" si="27"/>
        <v>1.7824074074074076E-2</v>
      </c>
      <c r="Q136" s="4">
        <f t="shared" si="28"/>
        <v>-88.172043010752688</v>
      </c>
      <c r="R136" s="2">
        <f t="shared" si="29"/>
        <v>13.44212962962963</v>
      </c>
      <c r="S136" s="5">
        <f t="shared" si="30"/>
        <v>2.0601851851851852E-4</v>
      </c>
      <c r="T136" s="2">
        <f t="shared" si="31"/>
        <v>65247.191011235955</v>
      </c>
    </row>
    <row r="137" spans="1:20" x14ac:dyDescent="0.3">
      <c r="A137">
        <v>136</v>
      </c>
      <c r="B137" t="s">
        <v>619</v>
      </c>
      <c r="C137">
        <v>84</v>
      </c>
      <c r="D137">
        <f t="shared" si="24"/>
        <v>3000</v>
      </c>
      <c r="E137" s="3" t="s">
        <v>620</v>
      </c>
      <c r="F137" s="3">
        <f t="shared" si="23"/>
        <v>43100000</v>
      </c>
      <c r="G137" s="3" t="s">
        <v>621</v>
      </c>
      <c r="H137" s="3">
        <f t="shared" si="22"/>
        <v>969700</v>
      </c>
      <c r="I137" s="2" t="s">
        <v>622</v>
      </c>
      <c r="J137" s="1">
        <v>1.0500000000000001E-2</v>
      </c>
      <c r="K137" s="2">
        <f t="shared" si="25"/>
        <v>444200</v>
      </c>
      <c r="L137" s="2" t="s">
        <v>623</v>
      </c>
      <c r="M137" s="2">
        <f t="shared" si="26"/>
        <v>2900000000</v>
      </c>
      <c r="N137" s="2" t="s">
        <v>340</v>
      </c>
      <c r="O137" t="s">
        <v>23</v>
      </c>
      <c r="P137" s="2">
        <f t="shared" si="27"/>
        <v>1.0306264501160094</v>
      </c>
      <c r="Q137" s="4">
        <f t="shared" si="28"/>
        <v>-54.19201814994328</v>
      </c>
      <c r="R137" s="2">
        <f t="shared" si="29"/>
        <v>67.285382830626446</v>
      </c>
      <c r="S137" s="5">
        <f t="shared" si="30"/>
        <v>6.9605568445475636E-5</v>
      </c>
      <c r="T137" s="2">
        <f t="shared" si="31"/>
        <v>966666.66666666663</v>
      </c>
    </row>
    <row r="138" spans="1:20" x14ac:dyDescent="0.3">
      <c r="A138">
        <v>137</v>
      </c>
      <c r="B138" t="s">
        <v>624</v>
      </c>
      <c r="C138">
        <v>86</v>
      </c>
      <c r="D138">
        <f t="shared" si="24"/>
        <v>4400</v>
      </c>
      <c r="E138" s="3" t="s">
        <v>112</v>
      </c>
      <c r="F138" s="3">
        <f t="shared" si="23"/>
        <v>42900000</v>
      </c>
      <c r="G138" s="3" t="s">
        <v>625</v>
      </c>
      <c r="H138" s="3">
        <f t="shared" si="22"/>
        <v>790200</v>
      </c>
      <c r="I138" s="2" t="s">
        <v>626</v>
      </c>
      <c r="J138" s="1">
        <v>4.3E-3</v>
      </c>
      <c r="K138" s="2">
        <f t="shared" si="25"/>
        <v>181000</v>
      </c>
      <c r="L138" s="2" t="s">
        <v>627</v>
      </c>
      <c r="M138" s="2">
        <f t="shared" si="26"/>
        <v>3500000000</v>
      </c>
      <c r="N138" s="2" t="s">
        <v>255</v>
      </c>
      <c r="O138" t="s">
        <v>23</v>
      </c>
      <c r="P138" s="2">
        <f t="shared" si="27"/>
        <v>0.42191142191142195</v>
      </c>
      <c r="Q138" s="4">
        <f t="shared" si="28"/>
        <v>-77.09440647937231</v>
      </c>
      <c r="R138" s="2">
        <f t="shared" si="29"/>
        <v>81.585081585081582</v>
      </c>
      <c r="S138" s="5">
        <f t="shared" si="30"/>
        <v>1.0256410256410256E-4</v>
      </c>
      <c r="T138" s="2">
        <f t="shared" si="31"/>
        <v>795454.54545454541</v>
      </c>
    </row>
    <row r="139" spans="1:20" x14ac:dyDescent="0.3">
      <c r="A139">
        <v>138</v>
      </c>
      <c r="B139" t="s">
        <v>628</v>
      </c>
      <c r="C139">
        <v>83</v>
      </c>
      <c r="D139">
        <f t="shared" si="24"/>
        <v>950</v>
      </c>
      <c r="E139" s="3" t="s">
        <v>85</v>
      </c>
      <c r="F139" s="3">
        <f t="shared" si="23"/>
        <v>42200000</v>
      </c>
      <c r="G139" s="3" t="s">
        <v>629</v>
      </c>
      <c r="H139" s="3">
        <f t="shared" si="22"/>
        <v>736400</v>
      </c>
      <c r="I139" s="2" t="s">
        <v>630</v>
      </c>
      <c r="J139" s="1">
        <v>1.49E-2</v>
      </c>
      <c r="K139" s="2">
        <f t="shared" si="25"/>
        <v>624500</v>
      </c>
      <c r="L139" s="2" t="s">
        <v>631</v>
      </c>
      <c r="M139" s="2">
        <f t="shared" si="26"/>
        <v>710700000</v>
      </c>
      <c r="N139" s="2" t="s">
        <v>632</v>
      </c>
      <c r="O139" t="s">
        <v>891</v>
      </c>
      <c r="P139" s="2">
        <f t="shared" si="27"/>
        <v>1.4798578199052133</v>
      </c>
      <c r="Q139" s="4">
        <f t="shared" si="28"/>
        <v>-15.195545898967952</v>
      </c>
      <c r="R139" s="2">
        <f t="shared" si="29"/>
        <v>16.841232227488153</v>
      </c>
      <c r="S139" s="5">
        <f t="shared" si="30"/>
        <v>2.2511848341232229E-5</v>
      </c>
      <c r="T139" s="2">
        <f t="shared" si="31"/>
        <v>748105.26315789472</v>
      </c>
    </row>
    <row r="140" spans="1:20" x14ac:dyDescent="0.3">
      <c r="A140">
        <v>139</v>
      </c>
      <c r="B140" t="s">
        <v>633</v>
      </c>
      <c r="C140">
        <v>83</v>
      </c>
      <c r="D140">
        <f t="shared" si="24"/>
        <v>10</v>
      </c>
      <c r="E140" s="3" t="s">
        <v>634</v>
      </c>
      <c r="F140" s="3">
        <f t="shared" si="23"/>
        <v>42100000</v>
      </c>
      <c r="G140" s="3" t="s">
        <v>635</v>
      </c>
      <c r="H140" s="3">
        <f t="shared" si="22"/>
        <v>3700000</v>
      </c>
      <c r="I140" s="2" t="s">
        <v>51</v>
      </c>
      <c r="J140" s="1">
        <v>0.13089999999999999</v>
      </c>
      <c r="K140" s="2">
        <f t="shared" si="25"/>
        <v>5400000</v>
      </c>
      <c r="L140" s="2" t="s">
        <v>283</v>
      </c>
      <c r="M140" s="2">
        <f t="shared" si="26"/>
        <v>67500000</v>
      </c>
      <c r="N140" s="2" t="s">
        <v>636</v>
      </c>
      <c r="O140" t="s">
        <v>891</v>
      </c>
      <c r="P140" s="2">
        <f t="shared" si="27"/>
        <v>12.826603325415679</v>
      </c>
      <c r="Q140" s="4">
        <f t="shared" si="28"/>
        <v>45.945945945945951</v>
      </c>
      <c r="R140" s="2">
        <f t="shared" si="29"/>
        <v>1.6033254156769596</v>
      </c>
      <c r="S140" s="5">
        <f t="shared" si="30"/>
        <v>2.3752969121140143E-7</v>
      </c>
      <c r="T140" s="2">
        <f t="shared" si="31"/>
        <v>6750000</v>
      </c>
    </row>
    <row r="141" spans="1:20" x14ac:dyDescent="0.3">
      <c r="A141">
        <v>140</v>
      </c>
      <c r="B141" t="s">
        <v>637</v>
      </c>
      <c r="C141">
        <v>80</v>
      </c>
      <c r="D141">
        <f t="shared" si="24"/>
        <v>3000</v>
      </c>
      <c r="E141" s="3" t="s">
        <v>620</v>
      </c>
      <c r="F141" s="3">
        <f t="shared" si="23"/>
        <v>42100000</v>
      </c>
      <c r="G141" s="3" t="s">
        <v>635</v>
      </c>
      <c r="H141" s="3">
        <f t="shared" si="22"/>
        <v>513100</v>
      </c>
      <c r="I141" s="2" t="s">
        <v>638</v>
      </c>
      <c r="J141" s="1">
        <v>5.4999999999999997E-3</v>
      </c>
      <c r="K141" s="2">
        <f t="shared" si="25"/>
        <v>221700</v>
      </c>
      <c r="L141" s="2" t="s">
        <v>639</v>
      </c>
      <c r="M141" s="2">
        <f t="shared" si="26"/>
        <v>1600000000</v>
      </c>
      <c r="N141" s="2" t="s">
        <v>121</v>
      </c>
      <c r="O141" t="s">
        <v>306</v>
      </c>
      <c r="P141" s="2">
        <f t="shared" si="27"/>
        <v>0.52660332541567689</v>
      </c>
      <c r="Q141" s="4">
        <f t="shared" si="28"/>
        <v>-56.792048333658151</v>
      </c>
      <c r="R141" s="2">
        <f t="shared" si="29"/>
        <v>38.004750593824227</v>
      </c>
      <c r="S141" s="5">
        <f t="shared" si="30"/>
        <v>7.125890736342043E-5</v>
      </c>
      <c r="T141" s="2">
        <f t="shared" si="31"/>
        <v>533333.33333333337</v>
      </c>
    </row>
    <row r="142" spans="1:20" x14ac:dyDescent="0.3">
      <c r="A142">
        <v>141</v>
      </c>
      <c r="B142" t="s">
        <v>640</v>
      </c>
      <c r="C142">
        <v>83</v>
      </c>
      <c r="D142">
        <f t="shared" si="24"/>
        <v>20</v>
      </c>
      <c r="E142" s="3" t="s">
        <v>562</v>
      </c>
      <c r="F142" s="3">
        <f t="shared" si="23"/>
        <v>41900000</v>
      </c>
      <c r="G142" s="3" t="s">
        <v>641</v>
      </c>
      <c r="H142" s="3">
        <f t="shared" si="22"/>
        <v>14200000</v>
      </c>
      <c r="I142" s="2" t="s">
        <v>642</v>
      </c>
      <c r="J142" s="1">
        <v>0.2641</v>
      </c>
      <c r="K142" s="2">
        <f t="shared" si="25"/>
        <v>11000000</v>
      </c>
      <c r="L142" s="2" t="s">
        <v>643</v>
      </c>
      <c r="M142" s="2">
        <f t="shared" si="26"/>
        <v>368100000</v>
      </c>
      <c r="N142" s="2" t="s">
        <v>644</v>
      </c>
      <c r="O142" t="s">
        <v>891</v>
      </c>
      <c r="P142" s="2">
        <f t="shared" si="27"/>
        <v>26.252983293556088</v>
      </c>
      <c r="Q142" s="4">
        <f t="shared" si="28"/>
        <v>-22.535211267605636</v>
      </c>
      <c r="R142" s="2">
        <f t="shared" si="29"/>
        <v>8.785202863961814</v>
      </c>
      <c r="S142" s="5">
        <f t="shared" si="30"/>
        <v>4.7732696897374702E-7</v>
      </c>
      <c r="T142" s="2">
        <f t="shared" si="31"/>
        <v>18405000</v>
      </c>
    </row>
    <row r="143" spans="1:20" x14ac:dyDescent="0.3">
      <c r="A143">
        <v>142</v>
      </c>
      <c r="B143" t="s">
        <v>645</v>
      </c>
      <c r="C143">
        <v>73</v>
      </c>
      <c r="D143">
        <f t="shared" si="24"/>
        <v>1400</v>
      </c>
      <c r="E143" s="3" t="s">
        <v>102</v>
      </c>
      <c r="F143" s="3">
        <f t="shared" si="23"/>
        <v>41800000</v>
      </c>
      <c r="G143" s="3" t="s">
        <v>646</v>
      </c>
      <c r="H143" s="3">
        <f t="shared" si="22"/>
        <v>1000000</v>
      </c>
      <c r="I143" s="2" t="s">
        <v>109</v>
      </c>
      <c r="J143" s="1">
        <v>1.9800000000000002E-2</v>
      </c>
      <c r="K143" s="2">
        <f t="shared" si="25"/>
        <v>818600</v>
      </c>
      <c r="L143" s="2" t="s">
        <v>647</v>
      </c>
      <c r="M143" s="2">
        <f t="shared" si="26"/>
        <v>1500000000</v>
      </c>
      <c r="N143" s="2" t="s">
        <v>132</v>
      </c>
      <c r="O143" t="s">
        <v>127</v>
      </c>
      <c r="P143" s="2">
        <f t="shared" si="27"/>
        <v>1.958373205741627</v>
      </c>
      <c r="Q143" s="4">
        <f t="shared" si="28"/>
        <v>-18.14</v>
      </c>
      <c r="R143" s="2">
        <f t="shared" si="29"/>
        <v>35.885167464114829</v>
      </c>
      <c r="S143" s="5">
        <f t="shared" si="30"/>
        <v>3.3492822966507174E-5</v>
      </c>
      <c r="T143" s="2">
        <f t="shared" si="31"/>
        <v>1071428.5714285714</v>
      </c>
    </row>
    <row r="144" spans="1:20" x14ac:dyDescent="0.3">
      <c r="A144">
        <v>143</v>
      </c>
      <c r="B144" t="s">
        <v>648</v>
      </c>
      <c r="C144">
        <v>83</v>
      </c>
      <c r="D144">
        <f t="shared" si="24"/>
        <v>1700</v>
      </c>
      <c r="E144" s="3" t="s">
        <v>201</v>
      </c>
      <c r="F144" s="3">
        <f t="shared" si="23"/>
        <v>41600000</v>
      </c>
      <c r="G144" s="3" t="s">
        <v>649</v>
      </c>
      <c r="H144" s="3">
        <f t="shared" si="22"/>
        <v>1400000</v>
      </c>
      <c r="I144" s="2" t="s">
        <v>99</v>
      </c>
      <c r="J144" s="1">
        <v>1.7600000000000001E-2</v>
      </c>
      <c r="K144" s="2">
        <f t="shared" si="25"/>
        <v>727500</v>
      </c>
      <c r="L144" s="2" t="s">
        <v>650</v>
      </c>
      <c r="M144" s="2">
        <f t="shared" si="26"/>
        <v>2300000000</v>
      </c>
      <c r="N144" s="2" t="s">
        <v>204</v>
      </c>
      <c r="O144" t="s">
        <v>651</v>
      </c>
      <c r="P144" s="2">
        <f t="shared" si="27"/>
        <v>1.7487980769230769</v>
      </c>
      <c r="Q144" s="4">
        <f t="shared" si="28"/>
        <v>-48.035714285714285</v>
      </c>
      <c r="R144" s="2">
        <f t="shared" si="29"/>
        <v>55.28846153846154</v>
      </c>
      <c r="S144" s="5">
        <f t="shared" si="30"/>
        <v>4.0865384615384615E-5</v>
      </c>
      <c r="T144" s="2">
        <f t="shared" si="31"/>
        <v>1352941.1764705882</v>
      </c>
    </row>
    <row r="145" spans="1:20" x14ac:dyDescent="0.3">
      <c r="A145">
        <v>144</v>
      </c>
      <c r="B145" t="s">
        <v>652</v>
      </c>
      <c r="C145">
        <v>83</v>
      </c>
      <c r="D145">
        <f t="shared" si="24"/>
        <v>670</v>
      </c>
      <c r="E145" s="3" t="s">
        <v>653</v>
      </c>
      <c r="F145" s="3">
        <f t="shared" si="23"/>
        <v>41500000</v>
      </c>
      <c r="G145" s="3" t="s">
        <v>654</v>
      </c>
      <c r="H145" s="3">
        <f t="shared" si="22"/>
        <v>1100000</v>
      </c>
      <c r="I145" s="2" t="s">
        <v>153</v>
      </c>
      <c r="J145" s="1">
        <v>3.9699999999999999E-2</v>
      </c>
      <c r="K145" s="2">
        <f t="shared" si="25"/>
        <v>1600000</v>
      </c>
      <c r="L145" s="2" t="s">
        <v>214</v>
      </c>
      <c r="M145" s="2">
        <f t="shared" si="26"/>
        <v>767000000</v>
      </c>
      <c r="N145" s="2" t="s">
        <v>655</v>
      </c>
      <c r="O145" t="s">
        <v>891</v>
      </c>
      <c r="P145" s="2">
        <f t="shared" si="27"/>
        <v>3.8554216867469884</v>
      </c>
      <c r="Q145" s="4">
        <f t="shared" si="28"/>
        <v>45.454545454545453</v>
      </c>
      <c r="R145" s="2">
        <f t="shared" si="29"/>
        <v>18.481927710843372</v>
      </c>
      <c r="S145" s="5">
        <f t="shared" si="30"/>
        <v>1.6144578313253012E-5</v>
      </c>
      <c r="T145" s="2">
        <f t="shared" si="31"/>
        <v>1144776.1194029851</v>
      </c>
    </row>
    <row r="146" spans="1:20" x14ac:dyDescent="0.3">
      <c r="A146">
        <v>145</v>
      </c>
      <c r="B146" t="s">
        <v>656</v>
      </c>
      <c r="C146">
        <v>85</v>
      </c>
      <c r="D146">
        <f t="shared" si="24"/>
        <v>9700</v>
      </c>
      <c r="E146" s="3" t="s">
        <v>657</v>
      </c>
      <c r="F146" s="3">
        <f t="shared" si="23"/>
        <v>41500000</v>
      </c>
      <c r="G146" s="3" t="s">
        <v>654</v>
      </c>
      <c r="H146" s="3">
        <f t="shared" si="22"/>
        <v>88800</v>
      </c>
      <c r="I146" s="2" t="s">
        <v>658</v>
      </c>
      <c r="J146" s="1">
        <v>1.6000000000000001E-3</v>
      </c>
      <c r="K146" s="2">
        <f t="shared" si="25"/>
        <v>63600</v>
      </c>
      <c r="L146" s="2" t="s">
        <v>659</v>
      </c>
      <c r="M146" s="2">
        <f t="shared" si="26"/>
        <v>863000000</v>
      </c>
      <c r="N146" s="2" t="s">
        <v>660</v>
      </c>
      <c r="O146" t="s">
        <v>891</v>
      </c>
      <c r="P146" s="2">
        <f t="shared" si="27"/>
        <v>0.15325301204819278</v>
      </c>
      <c r="Q146" s="4">
        <f t="shared" si="28"/>
        <v>-28.378378378378379</v>
      </c>
      <c r="R146" s="2">
        <f t="shared" si="29"/>
        <v>20.795180722891565</v>
      </c>
      <c r="S146" s="5">
        <f t="shared" si="30"/>
        <v>2.3373493975903614E-4</v>
      </c>
      <c r="T146" s="2">
        <f t="shared" si="31"/>
        <v>88969.072164948448</v>
      </c>
    </row>
    <row r="147" spans="1:20" x14ac:dyDescent="0.3">
      <c r="A147">
        <v>146</v>
      </c>
      <c r="B147" t="s">
        <v>661</v>
      </c>
      <c r="C147">
        <v>85</v>
      </c>
      <c r="D147">
        <f t="shared" si="24"/>
        <v>1800</v>
      </c>
      <c r="E147" s="3" t="s">
        <v>31</v>
      </c>
      <c r="F147" s="3">
        <f t="shared" si="23"/>
        <v>40800000</v>
      </c>
      <c r="G147" s="3" t="s">
        <v>662</v>
      </c>
      <c r="H147" s="3">
        <f t="shared" si="22"/>
        <v>1000000</v>
      </c>
      <c r="I147" s="2" t="s">
        <v>109</v>
      </c>
      <c r="J147" s="1">
        <v>7.6E-3</v>
      </c>
      <c r="K147" s="2">
        <f t="shared" si="25"/>
        <v>299300</v>
      </c>
      <c r="L147" s="2" t="s">
        <v>663</v>
      </c>
      <c r="M147" s="2">
        <f t="shared" si="26"/>
        <v>1800000000</v>
      </c>
      <c r="N147" s="2" t="s">
        <v>385</v>
      </c>
      <c r="O147" t="s">
        <v>664</v>
      </c>
      <c r="P147" s="2">
        <f t="shared" si="27"/>
        <v>0.73357843137254908</v>
      </c>
      <c r="Q147" s="4">
        <f t="shared" si="28"/>
        <v>-70.069999999999993</v>
      </c>
      <c r="R147" s="2">
        <f t="shared" si="29"/>
        <v>44.117647058823529</v>
      </c>
      <c r="S147" s="5">
        <f t="shared" si="30"/>
        <v>4.4117647058823532E-5</v>
      </c>
      <c r="T147" s="2">
        <f t="shared" si="31"/>
        <v>1000000</v>
      </c>
    </row>
    <row r="148" spans="1:20" x14ac:dyDescent="0.3">
      <c r="A148">
        <v>147</v>
      </c>
      <c r="B148" t="s">
        <v>665</v>
      </c>
      <c r="C148">
        <v>81</v>
      </c>
      <c r="D148">
        <f t="shared" si="24"/>
        <v>2100</v>
      </c>
      <c r="E148" s="3" t="s">
        <v>432</v>
      </c>
      <c r="F148" s="3">
        <f t="shared" si="23"/>
        <v>40700000</v>
      </c>
      <c r="G148" s="3" t="s">
        <v>666</v>
      </c>
      <c r="H148" s="3">
        <f t="shared" si="22"/>
        <v>586400</v>
      </c>
      <c r="I148" s="2" t="s">
        <v>667</v>
      </c>
      <c r="J148" s="1">
        <v>1E-4</v>
      </c>
      <c r="K148" s="2">
        <f t="shared" si="25"/>
        <v>0</v>
      </c>
      <c r="L148" s="2">
        <v>0</v>
      </c>
      <c r="M148" s="2">
        <f t="shared" si="26"/>
        <v>1200000000</v>
      </c>
      <c r="N148" s="2" t="s">
        <v>579</v>
      </c>
      <c r="O148" t="s">
        <v>127</v>
      </c>
      <c r="P148" s="2">
        <f t="shared" si="27"/>
        <v>0</v>
      </c>
      <c r="Q148" s="4">
        <f t="shared" si="28"/>
        <v>-100</v>
      </c>
      <c r="R148" s="2">
        <f t="shared" si="29"/>
        <v>29.484029484029485</v>
      </c>
      <c r="S148" s="5">
        <f t="shared" si="30"/>
        <v>5.1597051597051597E-5</v>
      </c>
      <c r="T148" s="2">
        <f t="shared" si="31"/>
        <v>571428.57142857148</v>
      </c>
    </row>
    <row r="149" spans="1:20" x14ac:dyDescent="0.3">
      <c r="A149">
        <v>148</v>
      </c>
      <c r="B149" t="s">
        <v>668</v>
      </c>
      <c r="C149">
        <v>85</v>
      </c>
      <c r="D149">
        <f t="shared" si="24"/>
        <v>90</v>
      </c>
      <c r="E149" s="3" t="s">
        <v>669</v>
      </c>
      <c r="F149" s="3">
        <f t="shared" si="23"/>
        <v>40700000</v>
      </c>
      <c r="G149" s="3" t="s">
        <v>666</v>
      </c>
      <c r="H149" s="3">
        <f t="shared" si="22"/>
        <v>4600000</v>
      </c>
      <c r="I149" s="2" t="s">
        <v>353</v>
      </c>
      <c r="J149" s="1">
        <v>1.8800000000000001E-2</v>
      </c>
      <c r="K149" s="2">
        <f t="shared" si="25"/>
        <v>731000</v>
      </c>
      <c r="L149" s="2" t="s">
        <v>670</v>
      </c>
      <c r="M149" s="2">
        <f t="shared" si="26"/>
        <v>452000000</v>
      </c>
      <c r="N149" s="2" t="s">
        <v>671</v>
      </c>
      <c r="O149" t="s">
        <v>891</v>
      </c>
      <c r="P149" s="2">
        <f t="shared" si="27"/>
        <v>1.796068796068796</v>
      </c>
      <c r="Q149" s="4">
        <f t="shared" si="28"/>
        <v>-84.108695652173921</v>
      </c>
      <c r="R149" s="2">
        <f t="shared" si="29"/>
        <v>11.105651105651106</v>
      </c>
      <c r="S149" s="5">
        <f t="shared" si="30"/>
        <v>2.2113022113022112E-6</v>
      </c>
      <c r="T149" s="2">
        <f t="shared" si="31"/>
        <v>5022222.222222222</v>
      </c>
    </row>
    <row r="150" spans="1:20" x14ac:dyDescent="0.3">
      <c r="A150">
        <v>149</v>
      </c>
      <c r="B150" t="s">
        <v>672</v>
      </c>
      <c r="C150">
        <v>85</v>
      </c>
      <c r="D150">
        <f t="shared" si="24"/>
        <v>300</v>
      </c>
      <c r="E150" s="3" t="s">
        <v>673</v>
      </c>
      <c r="F150" s="3">
        <f t="shared" si="23"/>
        <v>40100000</v>
      </c>
      <c r="G150" s="3" t="s">
        <v>674</v>
      </c>
      <c r="H150" s="3">
        <f t="shared" si="22"/>
        <v>3100000</v>
      </c>
      <c r="I150" s="2" t="s">
        <v>148</v>
      </c>
      <c r="J150" s="1">
        <v>2.4899999999999999E-2</v>
      </c>
      <c r="K150" s="2">
        <f t="shared" si="25"/>
        <v>994400</v>
      </c>
      <c r="L150" s="2" t="s">
        <v>675</v>
      </c>
      <c r="M150" s="2">
        <f t="shared" si="26"/>
        <v>957900000</v>
      </c>
      <c r="N150" s="2" t="s">
        <v>676</v>
      </c>
      <c r="O150" t="s">
        <v>891</v>
      </c>
      <c r="P150" s="2">
        <f t="shared" si="27"/>
        <v>2.4798004987531175</v>
      </c>
      <c r="Q150" s="4">
        <f t="shared" si="28"/>
        <v>-67.92258064516129</v>
      </c>
      <c r="R150" s="2">
        <f t="shared" si="29"/>
        <v>23.887780548628427</v>
      </c>
      <c r="S150" s="5">
        <f t="shared" si="30"/>
        <v>7.4812967581047383E-6</v>
      </c>
      <c r="T150" s="2">
        <f t="shared" si="31"/>
        <v>3193000</v>
      </c>
    </row>
    <row r="151" spans="1:20" x14ac:dyDescent="0.3">
      <c r="A151">
        <v>150</v>
      </c>
      <c r="B151" t="s">
        <v>677</v>
      </c>
      <c r="C151">
        <v>85</v>
      </c>
      <c r="D151">
        <f t="shared" si="24"/>
        <v>2000</v>
      </c>
      <c r="E151" s="3" t="s">
        <v>55</v>
      </c>
      <c r="F151" s="3">
        <f t="shared" si="23"/>
        <v>40000000</v>
      </c>
      <c r="G151" s="3" t="s">
        <v>678</v>
      </c>
      <c r="H151" s="3">
        <f t="shared" si="22"/>
        <v>250800</v>
      </c>
      <c r="I151" s="2" t="s">
        <v>679</v>
      </c>
      <c r="J151" s="1">
        <v>4.1000000000000003E-3</v>
      </c>
      <c r="K151" s="2">
        <f t="shared" si="25"/>
        <v>161700</v>
      </c>
      <c r="L151" s="2" t="s">
        <v>680</v>
      </c>
      <c r="M151" s="2">
        <f t="shared" si="26"/>
        <v>500500000</v>
      </c>
      <c r="N151" s="2" t="s">
        <v>681</v>
      </c>
      <c r="O151" t="s">
        <v>16</v>
      </c>
      <c r="P151" s="2">
        <f t="shared" si="27"/>
        <v>0.40425</v>
      </c>
      <c r="Q151" s="4">
        <f t="shared" si="28"/>
        <v>-35.526315789473685</v>
      </c>
      <c r="R151" s="2">
        <f t="shared" si="29"/>
        <v>12.512499999999999</v>
      </c>
      <c r="S151" s="5">
        <f t="shared" si="30"/>
        <v>5.0000000000000002E-5</v>
      </c>
      <c r="T151" s="2">
        <f t="shared" si="31"/>
        <v>250250</v>
      </c>
    </row>
    <row r="152" spans="1:20" x14ac:dyDescent="0.3">
      <c r="A152">
        <v>151</v>
      </c>
      <c r="B152" t="s">
        <v>682</v>
      </c>
      <c r="C152">
        <v>81</v>
      </c>
      <c r="D152">
        <f t="shared" si="24"/>
        <v>4500</v>
      </c>
      <c r="E152" s="3" t="s">
        <v>683</v>
      </c>
      <c r="F152" s="3">
        <f t="shared" si="23"/>
        <v>40000000</v>
      </c>
      <c r="G152" s="3" t="s">
        <v>678</v>
      </c>
      <c r="H152" s="3">
        <f t="shared" si="22"/>
        <v>118300</v>
      </c>
      <c r="I152" s="2" t="s">
        <v>684</v>
      </c>
      <c r="J152" s="1">
        <v>2.2000000000000001E-3</v>
      </c>
      <c r="K152" s="2">
        <f t="shared" si="25"/>
        <v>87400</v>
      </c>
      <c r="L152" s="2" t="s">
        <v>685</v>
      </c>
      <c r="M152" s="2">
        <f t="shared" si="26"/>
        <v>529900000</v>
      </c>
      <c r="N152" s="2" t="s">
        <v>686</v>
      </c>
      <c r="O152" t="s">
        <v>323</v>
      </c>
      <c r="P152" s="2">
        <f t="shared" si="27"/>
        <v>0.2185</v>
      </c>
      <c r="Q152" s="4">
        <f t="shared" si="28"/>
        <v>-26.120033812341504</v>
      </c>
      <c r="R152" s="2">
        <f t="shared" si="29"/>
        <v>13.2475</v>
      </c>
      <c r="S152" s="5">
        <f t="shared" si="30"/>
        <v>1.125E-4</v>
      </c>
      <c r="T152" s="2">
        <f t="shared" si="31"/>
        <v>117755.55555555556</v>
      </c>
    </row>
    <row r="153" spans="1:20" x14ac:dyDescent="0.3">
      <c r="A153">
        <v>152</v>
      </c>
      <c r="B153" t="s">
        <v>687</v>
      </c>
      <c r="C153">
        <v>75</v>
      </c>
      <c r="D153">
        <f t="shared" si="24"/>
        <v>10000</v>
      </c>
      <c r="E153" s="3" t="s">
        <v>79</v>
      </c>
      <c r="F153" s="3">
        <f t="shared" si="23"/>
        <v>39900000</v>
      </c>
      <c r="G153" s="3" t="s">
        <v>688</v>
      </c>
      <c r="H153" s="3">
        <f t="shared" si="22"/>
        <v>346700</v>
      </c>
      <c r="I153" s="2" t="s">
        <v>689</v>
      </c>
      <c r="J153" s="1">
        <v>4.1999999999999997E-3</v>
      </c>
      <c r="K153" s="2">
        <f t="shared" si="25"/>
        <v>162900</v>
      </c>
      <c r="L153" s="2" t="s">
        <v>690</v>
      </c>
      <c r="M153" s="2">
        <f t="shared" si="26"/>
        <v>3500000000</v>
      </c>
      <c r="N153" s="2" t="s">
        <v>255</v>
      </c>
      <c r="O153" t="s">
        <v>199</v>
      </c>
      <c r="P153" s="2">
        <f t="shared" si="27"/>
        <v>0.40827067669172928</v>
      </c>
      <c r="Q153" s="4">
        <f t="shared" si="28"/>
        <v>-53.014133256417651</v>
      </c>
      <c r="R153" s="2">
        <f t="shared" si="29"/>
        <v>87.719298245614041</v>
      </c>
      <c r="S153" s="5">
        <f t="shared" si="30"/>
        <v>2.506265664160401E-4</v>
      </c>
      <c r="T153" s="2">
        <f t="shared" si="31"/>
        <v>350000</v>
      </c>
    </row>
    <row r="154" spans="1:20" x14ac:dyDescent="0.3">
      <c r="A154">
        <v>153</v>
      </c>
      <c r="B154" t="s">
        <v>691</v>
      </c>
      <c r="C154">
        <v>80</v>
      </c>
      <c r="D154">
        <f t="shared" si="24"/>
        <v>2300</v>
      </c>
      <c r="E154" s="3" t="s">
        <v>161</v>
      </c>
      <c r="F154" s="3">
        <f t="shared" si="23"/>
        <v>39900000</v>
      </c>
      <c r="G154" s="3" t="s">
        <v>688</v>
      </c>
      <c r="H154" s="3">
        <f t="shared" si="22"/>
        <v>715500</v>
      </c>
      <c r="I154" s="2" t="s">
        <v>692</v>
      </c>
      <c r="J154" s="1">
        <v>4.5999999999999999E-3</v>
      </c>
      <c r="K154" s="2">
        <f t="shared" si="25"/>
        <v>181100</v>
      </c>
      <c r="L154" s="2" t="s">
        <v>693</v>
      </c>
      <c r="M154" s="2">
        <f t="shared" si="26"/>
        <v>1700000000</v>
      </c>
      <c r="N154" s="2" t="s">
        <v>300</v>
      </c>
      <c r="O154" t="s">
        <v>23</v>
      </c>
      <c r="P154" s="2">
        <f t="shared" si="27"/>
        <v>0.45388471177944861</v>
      </c>
      <c r="Q154" s="4">
        <f t="shared" si="28"/>
        <v>-74.689028651292801</v>
      </c>
      <c r="R154" s="2">
        <f t="shared" si="29"/>
        <v>42.606516290726816</v>
      </c>
      <c r="S154" s="5">
        <f t="shared" si="30"/>
        <v>5.7644110275689221E-5</v>
      </c>
      <c r="T154" s="2">
        <f t="shared" si="31"/>
        <v>739130.43478260865</v>
      </c>
    </row>
    <row r="155" spans="1:20" x14ac:dyDescent="0.3">
      <c r="A155">
        <v>154</v>
      </c>
      <c r="B155" t="s">
        <v>694</v>
      </c>
      <c r="C155">
        <v>78</v>
      </c>
      <c r="D155">
        <f t="shared" si="24"/>
        <v>11600</v>
      </c>
      <c r="E155" s="3" t="s">
        <v>695</v>
      </c>
      <c r="F155" s="3">
        <f t="shared" si="23"/>
        <v>39200000</v>
      </c>
      <c r="G155" s="3" t="s">
        <v>696</v>
      </c>
      <c r="H155" s="3">
        <f t="shared" si="22"/>
        <v>157400</v>
      </c>
      <c r="I155" s="2" t="s">
        <v>697</v>
      </c>
      <c r="J155" s="1">
        <v>2.3E-3</v>
      </c>
      <c r="K155" s="2">
        <f t="shared" si="25"/>
        <v>84400</v>
      </c>
      <c r="L155" s="2" t="s">
        <v>698</v>
      </c>
      <c r="M155" s="2">
        <f t="shared" si="26"/>
        <v>1800000000</v>
      </c>
      <c r="N155" s="2" t="s">
        <v>385</v>
      </c>
      <c r="O155" t="s">
        <v>23</v>
      </c>
      <c r="P155" s="2">
        <f t="shared" si="27"/>
        <v>0.21530612244897962</v>
      </c>
      <c r="Q155" s="4">
        <f t="shared" si="28"/>
        <v>-46.378653113087672</v>
      </c>
      <c r="R155" s="2">
        <f t="shared" si="29"/>
        <v>45.918367346938773</v>
      </c>
      <c r="S155" s="5">
        <f t="shared" si="30"/>
        <v>2.9591836734693878E-4</v>
      </c>
      <c r="T155" s="2">
        <f t="shared" si="31"/>
        <v>155172.41379310345</v>
      </c>
    </row>
    <row r="156" spans="1:20" x14ac:dyDescent="0.3">
      <c r="A156">
        <v>155</v>
      </c>
      <c r="B156" t="s">
        <v>699</v>
      </c>
      <c r="C156">
        <v>84</v>
      </c>
      <c r="D156">
        <f t="shared" si="24"/>
        <v>1200</v>
      </c>
      <c r="E156" s="3" t="s">
        <v>118</v>
      </c>
      <c r="F156" s="3">
        <f t="shared" si="23"/>
        <v>39200000</v>
      </c>
      <c r="G156" s="3" t="s">
        <v>696</v>
      </c>
      <c r="H156" s="3">
        <f t="shared" si="22"/>
        <v>486500</v>
      </c>
      <c r="I156" s="2" t="s">
        <v>700</v>
      </c>
      <c r="J156" s="1">
        <v>5.8999999999999999E-3</v>
      </c>
      <c r="K156" s="2">
        <f t="shared" si="25"/>
        <v>227700</v>
      </c>
      <c r="L156" s="2" t="s">
        <v>701</v>
      </c>
      <c r="M156" s="2">
        <f t="shared" si="26"/>
        <v>563900000</v>
      </c>
      <c r="N156" s="2" t="s">
        <v>702</v>
      </c>
      <c r="O156" t="s">
        <v>891</v>
      </c>
      <c r="P156" s="2">
        <f t="shared" si="27"/>
        <v>0.58086734693877551</v>
      </c>
      <c r="Q156" s="4">
        <f t="shared" si="28"/>
        <v>-53.19630010277492</v>
      </c>
      <c r="R156" s="2">
        <f t="shared" si="29"/>
        <v>14.385204081632653</v>
      </c>
      <c r="S156" s="5">
        <f t="shared" si="30"/>
        <v>3.0612244897959182E-5</v>
      </c>
      <c r="T156" s="2">
        <f t="shared" si="31"/>
        <v>469916.66666666669</v>
      </c>
    </row>
    <row r="157" spans="1:20" x14ac:dyDescent="0.3">
      <c r="A157">
        <v>156</v>
      </c>
      <c r="B157" t="s">
        <v>703</v>
      </c>
      <c r="C157">
        <v>58</v>
      </c>
      <c r="D157">
        <f t="shared" si="24"/>
        <v>100</v>
      </c>
      <c r="E157" s="3" t="s">
        <v>704</v>
      </c>
      <c r="F157" s="3">
        <f t="shared" si="23"/>
        <v>39100000</v>
      </c>
      <c r="G157" s="3" t="s">
        <v>705</v>
      </c>
      <c r="H157" s="3">
        <f t="shared" si="22"/>
        <v>4099999.9999999995</v>
      </c>
      <c r="I157" s="2" t="s">
        <v>295</v>
      </c>
      <c r="J157" s="1">
        <v>1.6999999999999999E-3</v>
      </c>
      <c r="K157" s="2">
        <f t="shared" si="25"/>
        <v>0</v>
      </c>
      <c r="L157" s="2">
        <v>0</v>
      </c>
      <c r="M157" s="2">
        <f t="shared" si="26"/>
        <v>439400000</v>
      </c>
      <c r="N157" s="2" t="s">
        <v>706</v>
      </c>
      <c r="O157" t="s">
        <v>891</v>
      </c>
      <c r="P157" s="2">
        <f t="shared" si="27"/>
        <v>0</v>
      </c>
      <c r="Q157" s="4">
        <f t="shared" si="28"/>
        <v>-100</v>
      </c>
      <c r="R157" s="2">
        <f t="shared" si="29"/>
        <v>11.237851662404092</v>
      </c>
      <c r="S157" s="5">
        <f t="shared" si="30"/>
        <v>2.5575447570332483E-6</v>
      </c>
      <c r="T157" s="2">
        <f t="shared" si="31"/>
        <v>4394000</v>
      </c>
    </row>
    <row r="158" spans="1:20" x14ac:dyDescent="0.3">
      <c r="A158">
        <v>157</v>
      </c>
      <c r="B158" t="s">
        <v>707</v>
      </c>
      <c r="C158">
        <v>74</v>
      </c>
      <c r="D158">
        <f t="shared" si="24"/>
        <v>730</v>
      </c>
      <c r="E158" s="3" t="s">
        <v>708</v>
      </c>
      <c r="F158" s="3">
        <f t="shared" si="23"/>
        <v>39100000</v>
      </c>
      <c r="G158" s="3" t="s">
        <v>705</v>
      </c>
      <c r="H158" s="3">
        <f t="shared" si="22"/>
        <v>2200000</v>
      </c>
      <c r="I158" s="2" t="s">
        <v>709</v>
      </c>
      <c r="J158" s="1">
        <v>8.5599999999999996E-2</v>
      </c>
      <c r="K158" s="2">
        <f t="shared" si="25"/>
        <v>3300000</v>
      </c>
      <c r="L158" s="2" t="s">
        <v>34</v>
      </c>
      <c r="M158" s="2">
        <f t="shared" si="26"/>
        <v>1600000000</v>
      </c>
      <c r="N158" s="2" t="s">
        <v>121</v>
      </c>
      <c r="O158" t="s">
        <v>891</v>
      </c>
      <c r="P158" s="2">
        <f t="shared" si="27"/>
        <v>8.4398976982097178</v>
      </c>
      <c r="Q158" s="4">
        <f t="shared" si="28"/>
        <v>50</v>
      </c>
      <c r="R158" s="2">
        <f t="shared" si="29"/>
        <v>40.92071611253197</v>
      </c>
      <c r="S158" s="5">
        <f t="shared" si="30"/>
        <v>1.8670076726342709E-5</v>
      </c>
      <c r="T158" s="2">
        <f t="shared" si="31"/>
        <v>2191780.8219178081</v>
      </c>
    </row>
    <row r="159" spans="1:20" x14ac:dyDescent="0.3">
      <c r="A159">
        <v>158</v>
      </c>
      <c r="B159" t="s">
        <v>710</v>
      </c>
      <c r="C159">
        <v>80</v>
      </c>
      <c r="D159">
        <f t="shared" si="24"/>
        <v>1800</v>
      </c>
      <c r="E159" s="3" t="s">
        <v>31</v>
      </c>
      <c r="F159" s="3">
        <f t="shared" si="23"/>
        <v>39000000</v>
      </c>
      <c r="G159" s="3" t="s">
        <v>711</v>
      </c>
      <c r="H159" s="3">
        <f t="shared" si="22"/>
        <v>815800</v>
      </c>
      <c r="I159" s="2" t="s">
        <v>712</v>
      </c>
      <c r="J159" s="1">
        <v>1.01E-2</v>
      </c>
      <c r="K159" s="2">
        <f t="shared" si="25"/>
        <v>383300</v>
      </c>
      <c r="L159" s="2" t="s">
        <v>713</v>
      </c>
      <c r="M159" s="2">
        <f t="shared" si="26"/>
        <v>1400000000</v>
      </c>
      <c r="N159" s="2" t="s">
        <v>714</v>
      </c>
      <c r="O159" t="s">
        <v>891</v>
      </c>
      <c r="P159" s="2">
        <f t="shared" si="27"/>
        <v>0.98282051282051286</v>
      </c>
      <c r="Q159" s="4">
        <f t="shared" si="28"/>
        <v>-53.015444962000494</v>
      </c>
      <c r="R159" s="2">
        <f t="shared" si="29"/>
        <v>35.897435897435898</v>
      </c>
      <c r="S159" s="5">
        <f t="shared" si="30"/>
        <v>4.6153846153846151E-5</v>
      </c>
      <c r="T159" s="2">
        <f t="shared" si="31"/>
        <v>777777.77777777775</v>
      </c>
    </row>
    <row r="160" spans="1:20" x14ac:dyDescent="0.3">
      <c r="A160">
        <v>159</v>
      </c>
      <c r="B160" t="s">
        <v>715</v>
      </c>
      <c r="C160">
        <v>79</v>
      </c>
      <c r="D160">
        <f t="shared" si="24"/>
        <v>5100</v>
      </c>
      <c r="E160" s="3" t="s">
        <v>325</v>
      </c>
      <c r="F160" s="3">
        <f t="shared" si="23"/>
        <v>38900000</v>
      </c>
      <c r="G160" s="3" t="s">
        <v>716</v>
      </c>
      <c r="H160" s="3">
        <f t="shared" si="22"/>
        <v>623100</v>
      </c>
      <c r="I160" s="2" t="s">
        <v>717</v>
      </c>
      <c r="J160" s="1">
        <v>4.3E-3</v>
      </c>
      <c r="K160" s="2">
        <f t="shared" si="25"/>
        <v>162100</v>
      </c>
      <c r="L160" s="2" t="s">
        <v>718</v>
      </c>
      <c r="M160" s="2">
        <f t="shared" si="26"/>
        <v>3200000000</v>
      </c>
      <c r="N160" s="2" t="s">
        <v>572</v>
      </c>
      <c r="O160" t="s">
        <v>23</v>
      </c>
      <c r="P160" s="2">
        <f t="shared" si="27"/>
        <v>0.41670951156812336</v>
      </c>
      <c r="Q160" s="4">
        <f t="shared" si="28"/>
        <v>-73.984914138982504</v>
      </c>
      <c r="R160" s="2">
        <f t="shared" si="29"/>
        <v>82.26221079691517</v>
      </c>
      <c r="S160" s="5">
        <f t="shared" si="30"/>
        <v>1.3110539845758354E-4</v>
      </c>
      <c r="T160" s="2">
        <f t="shared" si="31"/>
        <v>627450.98039215687</v>
      </c>
    </row>
    <row r="161" spans="1:20" x14ac:dyDescent="0.3">
      <c r="A161">
        <v>160</v>
      </c>
      <c r="B161" t="s">
        <v>719</v>
      </c>
      <c r="C161">
        <v>75</v>
      </c>
      <c r="D161">
        <f t="shared" si="24"/>
        <v>13400</v>
      </c>
      <c r="E161" s="3" t="s">
        <v>720</v>
      </c>
      <c r="F161" s="3">
        <f t="shared" si="23"/>
        <v>38800000</v>
      </c>
      <c r="G161" s="3" t="s">
        <v>721</v>
      </c>
      <c r="H161" s="3">
        <f t="shared" si="22"/>
        <v>139300</v>
      </c>
      <c r="I161" s="2" t="s">
        <v>613</v>
      </c>
      <c r="J161" s="1">
        <v>1.2999999999999999E-3</v>
      </c>
      <c r="K161" s="2">
        <f t="shared" si="25"/>
        <v>49100</v>
      </c>
      <c r="L161" s="2" t="s">
        <v>722</v>
      </c>
      <c r="M161" s="2">
        <f t="shared" si="26"/>
        <v>1900000000</v>
      </c>
      <c r="N161" s="2" t="s">
        <v>226</v>
      </c>
      <c r="O161" t="s">
        <v>323</v>
      </c>
      <c r="P161" s="2">
        <f t="shared" si="27"/>
        <v>0.12654639175257731</v>
      </c>
      <c r="Q161" s="4">
        <f t="shared" si="28"/>
        <v>-64.752333094041632</v>
      </c>
      <c r="R161" s="2">
        <f t="shared" si="29"/>
        <v>48.96907216494845</v>
      </c>
      <c r="S161" s="5">
        <f t="shared" si="30"/>
        <v>3.4536082474226804E-4</v>
      </c>
      <c r="T161" s="2">
        <f t="shared" si="31"/>
        <v>141791.04477611941</v>
      </c>
    </row>
    <row r="162" spans="1:20" x14ac:dyDescent="0.3">
      <c r="A162">
        <v>161</v>
      </c>
      <c r="B162" t="s">
        <v>723</v>
      </c>
      <c r="C162">
        <v>80</v>
      </c>
      <c r="D162">
        <f t="shared" si="24"/>
        <v>500</v>
      </c>
      <c r="E162" s="3" t="s">
        <v>724</v>
      </c>
      <c r="F162" s="3">
        <f t="shared" ref="F162:F193" si="32">IF(RIGHT(G162,1)="m",VALUE(LEFT(G162,LEN(G162)-1))*1000000)</f>
        <v>38700000</v>
      </c>
      <c r="G162" s="3" t="s">
        <v>725</v>
      </c>
      <c r="H162" s="3">
        <f t="shared" si="22"/>
        <v>398700</v>
      </c>
      <c r="I162" s="2" t="s">
        <v>726</v>
      </c>
      <c r="J162" s="1">
        <v>3.0999999999999999E-3</v>
      </c>
      <c r="K162" s="2">
        <f t="shared" si="25"/>
        <v>115700</v>
      </c>
      <c r="L162" s="2" t="s">
        <v>727</v>
      </c>
      <c r="M162" s="2">
        <f t="shared" si="26"/>
        <v>199800000</v>
      </c>
      <c r="N162" s="2" t="s">
        <v>728</v>
      </c>
      <c r="O162" t="s">
        <v>23</v>
      </c>
      <c r="P162" s="2">
        <f t="shared" si="27"/>
        <v>0.29896640826873389</v>
      </c>
      <c r="Q162" s="4">
        <f t="shared" si="28"/>
        <v>-70.980687233508903</v>
      </c>
      <c r="R162" s="2">
        <f t="shared" si="29"/>
        <v>5.1627906976744189</v>
      </c>
      <c r="S162" s="5">
        <f t="shared" si="30"/>
        <v>1.2919896640826873E-5</v>
      </c>
      <c r="T162" s="2">
        <f t="shared" si="31"/>
        <v>399600</v>
      </c>
    </row>
    <row r="163" spans="1:20" x14ac:dyDescent="0.3">
      <c r="A163">
        <v>162</v>
      </c>
      <c r="B163" t="s">
        <v>729</v>
      </c>
      <c r="C163">
        <v>83</v>
      </c>
      <c r="D163">
        <f t="shared" si="24"/>
        <v>7300</v>
      </c>
      <c r="E163" s="3" t="s">
        <v>180</v>
      </c>
      <c r="F163" s="3">
        <f t="shared" si="32"/>
        <v>38500000</v>
      </c>
      <c r="G163" s="3" t="s">
        <v>730</v>
      </c>
      <c r="H163" s="3">
        <f t="shared" si="22"/>
        <v>88400</v>
      </c>
      <c r="I163" s="2" t="s">
        <v>731</v>
      </c>
      <c r="J163" s="1">
        <v>5.9999999999999995E-4</v>
      </c>
      <c r="K163" s="2">
        <f t="shared" si="25"/>
        <v>22400</v>
      </c>
      <c r="L163" s="2" t="s">
        <v>732</v>
      </c>
      <c r="M163" s="2">
        <f t="shared" si="26"/>
        <v>644100000</v>
      </c>
      <c r="N163" s="2" t="s">
        <v>733</v>
      </c>
      <c r="O163" t="s">
        <v>734</v>
      </c>
      <c r="P163" s="2">
        <f t="shared" si="27"/>
        <v>5.8181818181818182E-2</v>
      </c>
      <c r="Q163" s="4">
        <f t="shared" si="28"/>
        <v>-74.660633484162901</v>
      </c>
      <c r="R163" s="2">
        <f t="shared" si="29"/>
        <v>16.729870129870129</v>
      </c>
      <c r="S163" s="5">
        <f t="shared" si="30"/>
        <v>1.896103896103896E-4</v>
      </c>
      <c r="T163" s="2">
        <f t="shared" si="31"/>
        <v>88232.876712328769</v>
      </c>
    </row>
    <row r="164" spans="1:20" x14ac:dyDescent="0.3">
      <c r="A164">
        <v>163</v>
      </c>
      <c r="B164" t="s">
        <v>735</v>
      </c>
      <c r="C164">
        <v>85</v>
      </c>
      <c r="D164">
        <f t="shared" si="24"/>
        <v>5300</v>
      </c>
      <c r="E164" s="3" t="s">
        <v>123</v>
      </c>
      <c r="F164" s="3">
        <f t="shared" si="32"/>
        <v>38300000</v>
      </c>
      <c r="G164" s="3" t="s">
        <v>736</v>
      </c>
      <c r="H164" s="3">
        <f t="shared" si="22"/>
        <v>695400</v>
      </c>
      <c r="I164" s="2" t="s">
        <v>737</v>
      </c>
      <c r="J164" s="1">
        <v>1.7500000000000002E-2</v>
      </c>
      <c r="K164" s="2">
        <f t="shared" si="25"/>
        <v>658300</v>
      </c>
      <c r="L164" s="2" t="s">
        <v>738</v>
      </c>
      <c r="M164" s="2">
        <f t="shared" si="26"/>
        <v>3700000000</v>
      </c>
      <c r="N164" s="2" t="s">
        <v>77</v>
      </c>
      <c r="O164" t="s">
        <v>891</v>
      </c>
      <c r="P164" s="2">
        <f t="shared" si="27"/>
        <v>1.718798955613577</v>
      </c>
      <c r="Q164" s="4">
        <f t="shared" si="28"/>
        <v>-5.3350589588725912</v>
      </c>
      <c r="R164" s="2">
        <f t="shared" si="29"/>
        <v>96.605744125326368</v>
      </c>
      <c r="S164" s="5">
        <f t="shared" si="30"/>
        <v>1.3838120104438644E-4</v>
      </c>
      <c r="T164" s="2">
        <f t="shared" si="31"/>
        <v>698113.20754716976</v>
      </c>
    </row>
    <row r="165" spans="1:20" x14ac:dyDescent="0.3">
      <c r="A165">
        <v>164</v>
      </c>
      <c r="B165" t="s">
        <v>739</v>
      </c>
      <c r="C165">
        <v>84</v>
      </c>
      <c r="D165">
        <f t="shared" si="24"/>
        <v>730</v>
      </c>
      <c r="E165" s="3" t="s">
        <v>708</v>
      </c>
      <c r="F165" s="3">
        <f t="shared" si="32"/>
        <v>38300000</v>
      </c>
      <c r="G165" s="3" t="s">
        <v>736</v>
      </c>
      <c r="H165" s="3">
        <f t="shared" si="22"/>
        <v>813500</v>
      </c>
      <c r="I165" s="2" t="s">
        <v>740</v>
      </c>
      <c r="J165" s="1">
        <v>0.01</v>
      </c>
      <c r="K165" s="2">
        <f t="shared" si="25"/>
        <v>363800</v>
      </c>
      <c r="L165" s="2" t="s">
        <v>741</v>
      </c>
      <c r="M165" s="2">
        <f t="shared" si="26"/>
        <v>594700000</v>
      </c>
      <c r="N165" s="2" t="s">
        <v>742</v>
      </c>
      <c r="O165" t="s">
        <v>891</v>
      </c>
      <c r="P165" s="2">
        <f t="shared" si="27"/>
        <v>0.94986945169712789</v>
      </c>
      <c r="Q165" s="4">
        <f t="shared" si="28"/>
        <v>-55.279655808236015</v>
      </c>
      <c r="R165" s="2">
        <f t="shared" si="29"/>
        <v>15.527415143603132</v>
      </c>
      <c r="S165" s="5">
        <f t="shared" si="30"/>
        <v>1.9060052219321149E-5</v>
      </c>
      <c r="T165" s="2">
        <f t="shared" si="31"/>
        <v>814657.53424657532</v>
      </c>
    </row>
    <row r="166" spans="1:20" x14ac:dyDescent="0.3">
      <c r="A166">
        <v>165</v>
      </c>
      <c r="B166" t="s">
        <v>743</v>
      </c>
      <c r="C166">
        <v>83</v>
      </c>
      <c r="D166">
        <f t="shared" si="24"/>
        <v>2700</v>
      </c>
      <c r="E166" s="3" t="s">
        <v>364</v>
      </c>
      <c r="F166" s="3">
        <f t="shared" si="32"/>
        <v>38100000</v>
      </c>
      <c r="G166" s="3" t="s">
        <v>744</v>
      </c>
      <c r="H166" s="3">
        <f t="shared" si="22"/>
        <v>594200</v>
      </c>
      <c r="I166" s="2" t="s">
        <v>745</v>
      </c>
      <c r="J166" s="1">
        <v>1.5800000000000002E-2</v>
      </c>
      <c r="K166" s="2">
        <f t="shared" si="25"/>
        <v>555900</v>
      </c>
      <c r="L166" s="2" t="s">
        <v>746</v>
      </c>
      <c r="M166" s="2">
        <f t="shared" si="26"/>
        <v>1600000000</v>
      </c>
      <c r="N166" s="2" t="s">
        <v>121</v>
      </c>
      <c r="O166" t="s">
        <v>891</v>
      </c>
      <c r="P166" s="2">
        <f t="shared" si="27"/>
        <v>1.4590551181102362</v>
      </c>
      <c r="Q166" s="4">
        <f t="shared" si="28"/>
        <v>-6.4456411982497475</v>
      </c>
      <c r="R166" s="2">
        <f t="shared" si="29"/>
        <v>41.99475065616798</v>
      </c>
      <c r="S166" s="5">
        <f t="shared" si="30"/>
        <v>7.0866141732283471E-5</v>
      </c>
      <c r="T166" s="2">
        <f t="shared" si="31"/>
        <v>592592.59259259258</v>
      </c>
    </row>
    <row r="167" spans="1:20" x14ac:dyDescent="0.3">
      <c r="A167">
        <v>166</v>
      </c>
      <c r="B167" t="s">
        <v>747</v>
      </c>
      <c r="C167">
        <v>80</v>
      </c>
      <c r="D167">
        <f t="shared" si="24"/>
        <v>8900</v>
      </c>
      <c r="E167" s="3" t="s">
        <v>495</v>
      </c>
      <c r="F167" s="3">
        <f t="shared" si="32"/>
        <v>37400000</v>
      </c>
      <c r="G167" s="3" t="s">
        <v>748</v>
      </c>
      <c r="H167" s="3">
        <f t="shared" si="22"/>
        <v>256100.00000000003</v>
      </c>
      <c r="I167" s="2" t="s">
        <v>749</v>
      </c>
      <c r="J167" s="1">
        <v>2.0000000000000001E-4</v>
      </c>
      <c r="K167" s="2">
        <f t="shared" si="25"/>
        <v>0</v>
      </c>
      <c r="L167" s="2">
        <v>0</v>
      </c>
      <c r="M167" s="2">
        <f t="shared" si="26"/>
        <v>2300000000</v>
      </c>
      <c r="N167" s="2" t="s">
        <v>204</v>
      </c>
      <c r="O167" t="s">
        <v>891</v>
      </c>
      <c r="P167" s="2">
        <f t="shared" si="27"/>
        <v>0</v>
      </c>
      <c r="Q167" s="4">
        <f t="shared" si="28"/>
        <v>-100</v>
      </c>
      <c r="R167" s="2">
        <f t="shared" si="29"/>
        <v>61.497326203208559</v>
      </c>
      <c r="S167" s="5">
        <f t="shared" si="30"/>
        <v>2.3796791443850268E-4</v>
      </c>
      <c r="T167" s="2">
        <f t="shared" si="31"/>
        <v>258426.96629213484</v>
      </c>
    </row>
    <row r="168" spans="1:20" x14ac:dyDescent="0.3">
      <c r="A168">
        <v>167</v>
      </c>
      <c r="B168" t="s">
        <v>750</v>
      </c>
      <c r="C168">
        <v>84</v>
      </c>
      <c r="D168">
        <f t="shared" si="24"/>
        <v>1300</v>
      </c>
      <c r="E168" s="3" t="s">
        <v>196</v>
      </c>
      <c r="F168" s="3">
        <f t="shared" si="32"/>
        <v>37400000</v>
      </c>
      <c r="G168" s="3" t="s">
        <v>748</v>
      </c>
      <c r="H168" s="3">
        <f t="shared" si="22"/>
        <v>505700</v>
      </c>
      <c r="I168" s="2" t="s">
        <v>751</v>
      </c>
      <c r="J168" s="1">
        <v>6.7999999999999996E-3</v>
      </c>
      <c r="K168" s="2">
        <f t="shared" si="25"/>
        <v>246900</v>
      </c>
      <c r="L168" s="2" t="s">
        <v>752</v>
      </c>
      <c r="M168" s="2">
        <f t="shared" si="26"/>
        <v>672100000</v>
      </c>
      <c r="N168" s="2" t="s">
        <v>753</v>
      </c>
      <c r="O168" t="s">
        <v>891</v>
      </c>
      <c r="P168" s="2">
        <f t="shared" si="27"/>
        <v>0.66016042780748663</v>
      </c>
      <c r="Q168" s="4">
        <f t="shared" si="28"/>
        <v>-51.176586909234722</v>
      </c>
      <c r="R168" s="2">
        <f t="shared" si="29"/>
        <v>17.970588235294116</v>
      </c>
      <c r="S168" s="5">
        <f t="shared" si="30"/>
        <v>3.4759358288770055E-5</v>
      </c>
      <c r="T168" s="2">
        <f t="shared" si="31"/>
        <v>517000</v>
      </c>
    </row>
    <row r="169" spans="1:20" x14ac:dyDescent="0.3">
      <c r="A169">
        <v>168</v>
      </c>
      <c r="B169" t="s">
        <v>754</v>
      </c>
      <c r="C169">
        <v>83</v>
      </c>
      <c r="D169">
        <f t="shared" si="24"/>
        <v>110</v>
      </c>
      <c r="E169" s="3" t="s">
        <v>755</v>
      </c>
      <c r="F169" s="3">
        <f t="shared" si="32"/>
        <v>37000000</v>
      </c>
      <c r="G169" s="3" t="s">
        <v>756</v>
      </c>
      <c r="H169" s="3">
        <f t="shared" si="22"/>
        <v>10900000</v>
      </c>
      <c r="I169" s="2" t="s">
        <v>757</v>
      </c>
      <c r="J169" t="s">
        <v>758</v>
      </c>
      <c r="K169" s="2">
        <f t="shared" si="25"/>
        <v>0</v>
      </c>
      <c r="L169" s="2">
        <v>0</v>
      </c>
      <c r="M169" s="2">
        <f t="shared" si="26"/>
        <v>1200000000</v>
      </c>
      <c r="N169" s="2" t="s">
        <v>579</v>
      </c>
      <c r="O169" t="s">
        <v>891</v>
      </c>
      <c r="P169" s="2">
        <f t="shared" si="27"/>
        <v>0</v>
      </c>
      <c r="Q169" s="4">
        <f t="shared" si="28"/>
        <v>-100</v>
      </c>
      <c r="R169" s="2">
        <f t="shared" si="29"/>
        <v>32.432432432432435</v>
      </c>
      <c r="S169" s="5">
        <f t="shared" si="30"/>
        <v>2.9729729729729731E-6</v>
      </c>
      <c r="T169" s="2">
        <f t="shared" si="31"/>
        <v>10909090.909090908</v>
      </c>
    </row>
    <row r="170" spans="1:20" x14ac:dyDescent="0.3">
      <c r="A170">
        <v>169</v>
      </c>
      <c r="B170" t="s">
        <v>759</v>
      </c>
      <c r="C170">
        <v>76</v>
      </c>
      <c r="D170">
        <f t="shared" si="24"/>
        <v>380</v>
      </c>
      <c r="E170" s="3" t="s">
        <v>760</v>
      </c>
      <c r="F170" s="3">
        <f t="shared" si="32"/>
        <v>36900000</v>
      </c>
      <c r="G170" s="3" t="s">
        <v>761</v>
      </c>
      <c r="H170" s="3">
        <f t="shared" si="22"/>
        <v>172800</v>
      </c>
      <c r="I170" s="2" t="s">
        <v>762</v>
      </c>
      <c r="J170" s="1">
        <v>1.1999999999999999E-3</v>
      </c>
      <c r="K170" s="2">
        <f t="shared" si="25"/>
        <v>43400</v>
      </c>
      <c r="L170" s="2" t="s">
        <v>763</v>
      </c>
      <c r="M170" s="2">
        <f t="shared" si="26"/>
        <v>66700000</v>
      </c>
      <c r="N170" s="2" t="s">
        <v>764</v>
      </c>
      <c r="O170" t="s">
        <v>323</v>
      </c>
      <c r="P170" s="2">
        <f t="shared" si="27"/>
        <v>0.11761517615176151</v>
      </c>
      <c r="Q170" s="4">
        <f t="shared" si="28"/>
        <v>-74.884259259259252</v>
      </c>
      <c r="R170" s="2">
        <f t="shared" si="29"/>
        <v>1.8075880758807588</v>
      </c>
      <c r="S170" s="5">
        <f t="shared" si="30"/>
        <v>1.029810298102981E-5</v>
      </c>
      <c r="T170" s="2">
        <f t="shared" si="31"/>
        <v>175526.31578947368</v>
      </c>
    </row>
    <row r="171" spans="1:20" x14ac:dyDescent="0.3">
      <c r="A171">
        <v>170</v>
      </c>
      <c r="B171" t="s">
        <v>765</v>
      </c>
      <c r="C171">
        <v>83</v>
      </c>
      <c r="D171">
        <f t="shared" si="24"/>
        <v>870</v>
      </c>
      <c r="E171" s="3" t="s">
        <v>218</v>
      </c>
      <c r="F171" s="3">
        <f t="shared" si="32"/>
        <v>36500000</v>
      </c>
      <c r="G171" s="3" t="s">
        <v>766</v>
      </c>
      <c r="H171" s="3">
        <f t="shared" si="22"/>
        <v>1100000</v>
      </c>
      <c r="I171" s="2" t="s">
        <v>153</v>
      </c>
      <c r="J171" s="1">
        <v>5.7000000000000002E-3</v>
      </c>
      <c r="K171" s="2">
        <f t="shared" si="25"/>
        <v>203600</v>
      </c>
      <c r="L171" s="2" t="s">
        <v>767</v>
      </c>
      <c r="M171" s="2">
        <f t="shared" si="26"/>
        <v>955400000</v>
      </c>
      <c r="N171" s="2" t="s">
        <v>768</v>
      </c>
      <c r="O171" t="s">
        <v>349</v>
      </c>
      <c r="P171" s="2">
        <f t="shared" si="27"/>
        <v>0.55780821917808221</v>
      </c>
      <c r="Q171" s="4">
        <f t="shared" si="28"/>
        <v>-81.490909090909085</v>
      </c>
      <c r="R171" s="2">
        <f t="shared" si="29"/>
        <v>26.175342465753424</v>
      </c>
      <c r="S171" s="5">
        <f t="shared" si="30"/>
        <v>2.3835616438356165E-5</v>
      </c>
      <c r="T171" s="2">
        <f t="shared" si="31"/>
        <v>1098160.91954023</v>
      </c>
    </row>
    <row r="172" spans="1:20" x14ac:dyDescent="0.3">
      <c r="A172">
        <v>171</v>
      </c>
      <c r="B172" t="s">
        <v>769</v>
      </c>
      <c r="C172">
        <v>85</v>
      </c>
      <c r="D172">
        <f t="shared" si="24"/>
        <v>9900</v>
      </c>
      <c r="E172" s="3" t="s">
        <v>356</v>
      </c>
      <c r="F172" s="3">
        <f t="shared" si="32"/>
        <v>36500000</v>
      </c>
      <c r="G172" s="3" t="s">
        <v>766</v>
      </c>
      <c r="H172" s="3">
        <f t="shared" si="22"/>
        <v>150500</v>
      </c>
      <c r="I172" s="2" t="s">
        <v>770</v>
      </c>
      <c r="J172" s="1">
        <v>1E-3</v>
      </c>
      <c r="K172" s="2">
        <f t="shared" si="25"/>
        <v>33400</v>
      </c>
      <c r="L172" s="2" t="s">
        <v>771</v>
      </c>
      <c r="M172" s="2">
        <f t="shared" si="26"/>
        <v>1500000000</v>
      </c>
      <c r="N172" s="2" t="s">
        <v>132</v>
      </c>
      <c r="O172" t="s">
        <v>891</v>
      </c>
      <c r="P172" s="2">
        <f t="shared" si="27"/>
        <v>9.1506849315068486E-2</v>
      </c>
      <c r="Q172" s="4">
        <f t="shared" si="28"/>
        <v>-77.807308970099669</v>
      </c>
      <c r="R172" s="2">
        <f t="shared" si="29"/>
        <v>41.095890410958901</v>
      </c>
      <c r="S172" s="5">
        <f t="shared" si="30"/>
        <v>2.7123287671232876E-4</v>
      </c>
      <c r="T172" s="2">
        <f t="shared" si="31"/>
        <v>151515.15151515152</v>
      </c>
    </row>
    <row r="173" spans="1:20" x14ac:dyDescent="0.3">
      <c r="A173">
        <v>172</v>
      </c>
      <c r="B173" t="s">
        <v>772</v>
      </c>
      <c r="C173">
        <v>84</v>
      </c>
      <c r="D173">
        <f t="shared" si="24"/>
        <v>660</v>
      </c>
      <c r="E173" s="3" t="s">
        <v>73</v>
      </c>
      <c r="F173" s="3">
        <f t="shared" si="32"/>
        <v>36400000</v>
      </c>
      <c r="G173" s="3" t="s">
        <v>773</v>
      </c>
      <c r="H173" s="3">
        <f t="shared" si="22"/>
        <v>1100000</v>
      </c>
      <c r="I173" s="2" t="s">
        <v>153</v>
      </c>
      <c r="J173" s="1">
        <v>2.69E-2</v>
      </c>
      <c r="K173" s="2">
        <f t="shared" si="25"/>
        <v>962700</v>
      </c>
      <c r="L173" s="2" t="s">
        <v>774</v>
      </c>
      <c r="M173" s="2">
        <f t="shared" si="26"/>
        <v>730100000</v>
      </c>
      <c r="N173" s="2" t="s">
        <v>775</v>
      </c>
      <c r="O173" t="s">
        <v>23</v>
      </c>
      <c r="P173" s="2">
        <f t="shared" si="27"/>
        <v>2.6447802197802197</v>
      </c>
      <c r="Q173" s="4">
        <f t="shared" si="28"/>
        <v>-12.481818181818181</v>
      </c>
      <c r="R173" s="2">
        <f t="shared" si="29"/>
        <v>20.057692307692307</v>
      </c>
      <c r="S173" s="5">
        <f t="shared" si="30"/>
        <v>1.8131868131868133E-5</v>
      </c>
      <c r="T173" s="2">
        <f t="shared" si="31"/>
        <v>1106212.1212121211</v>
      </c>
    </row>
    <row r="174" spans="1:20" x14ac:dyDescent="0.3">
      <c r="A174">
        <v>173</v>
      </c>
      <c r="B174" t="s">
        <v>776</v>
      </c>
      <c r="C174">
        <v>77</v>
      </c>
      <c r="D174">
        <f t="shared" si="24"/>
        <v>10000</v>
      </c>
      <c r="E174" s="3" t="s">
        <v>79</v>
      </c>
      <c r="F174" s="3">
        <f t="shared" si="32"/>
        <v>36000000</v>
      </c>
      <c r="G174" s="3" t="s">
        <v>777</v>
      </c>
      <c r="H174" s="3">
        <f t="shared" si="22"/>
        <v>197900</v>
      </c>
      <c r="I174" s="2" t="s">
        <v>778</v>
      </c>
      <c r="J174" s="1">
        <v>1.8E-3</v>
      </c>
      <c r="K174" s="2">
        <f t="shared" si="25"/>
        <v>64599.999999999993</v>
      </c>
      <c r="L174" s="2" t="s">
        <v>779</v>
      </c>
      <c r="M174" s="2">
        <f t="shared" si="26"/>
        <v>2000000000</v>
      </c>
      <c r="N174" s="2" t="s">
        <v>231</v>
      </c>
      <c r="O174" t="s">
        <v>780</v>
      </c>
      <c r="P174" s="2">
        <f t="shared" si="27"/>
        <v>0.17944444444444443</v>
      </c>
      <c r="Q174" s="4">
        <f t="shared" si="28"/>
        <v>-67.357251136937847</v>
      </c>
      <c r="R174" s="2">
        <f t="shared" si="29"/>
        <v>55.555555555555557</v>
      </c>
      <c r="S174" s="5">
        <f t="shared" si="30"/>
        <v>2.7777777777777778E-4</v>
      </c>
      <c r="T174" s="2">
        <f t="shared" si="31"/>
        <v>200000</v>
      </c>
    </row>
    <row r="175" spans="1:20" x14ac:dyDescent="0.3">
      <c r="A175">
        <v>174</v>
      </c>
      <c r="B175" t="s">
        <v>781</v>
      </c>
      <c r="C175">
        <v>81</v>
      </c>
      <c r="D175">
        <f t="shared" si="24"/>
        <v>1200</v>
      </c>
      <c r="E175" s="3" t="s">
        <v>118</v>
      </c>
      <c r="F175" s="3">
        <f t="shared" si="32"/>
        <v>35900000</v>
      </c>
      <c r="G175" s="3" t="s">
        <v>782</v>
      </c>
      <c r="H175" s="3">
        <f t="shared" si="22"/>
        <v>2200000</v>
      </c>
      <c r="I175" s="2" t="s">
        <v>709</v>
      </c>
      <c r="J175" s="1">
        <v>2.3400000000000001E-2</v>
      </c>
      <c r="K175" s="2">
        <f t="shared" si="25"/>
        <v>834500</v>
      </c>
      <c r="L175" s="2" t="s">
        <v>783</v>
      </c>
      <c r="M175" s="2">
        <f t="shared" si="26"/>
        <v>2600000000</v>
      </c>
      <c r="N175" s="2" t="s">
        <v>198</v>
      </c>
      <c r="O175" t="s">
        <v>891</v>
      </c>
      <c r="P175" s="2">
        <f t="shared" si="27"/>
        <v>2.3245125348189415</v>
      </c>
      <c r="Q175" s="4">
        <f t="shared" si="28"/>
        <v>-62.06818181818182</v>
      </c>
      <c r="R175" s="2">
        <f t="shared" si="29"/>
        <v>72.423398328690809</v>
      </c>
      <c r="S175" s="5">
        <f t="shared" si="30"/>
        <v>3.3426183844011142E-5</v>
      </c>
      <c r="T175" s="2">
        <f t="shared" si="31"/>
        <v>2166666.6666666665</v>
      </c>
    </row>
    <row r="176" spans="1:20" x14ac:dyDescent="0.3">
      <c r="A176">
        <v>175</v>
      </c>
      <c r="B176" t="s">
        <v>784</v>
      </c>
      <c r="C176">
        <v>47</v>
      </c>
      <c r="D176">
        <f t="shared" si="24"/>
        <v>30</v>
      </c>
      <c r="E176" s="3" t="s">
        <v>785</v>
      </c>
      <c r="F176" s="3">
        <f t="shared" si="32"/>
        <v>35900000</v>
      </c>
      <c r="G176" s="3" t="s">
        <v>782</v>
      </c>
      <c r="H176" s="3">
        <f t="shared" si="22"/>
        <v>518100</v>
      </c>
      <c r="I176" s="2" t="s">
        <v>786</v>
      </c>
      <c r="J176" s="1">
        <v>8.0000000000000002E-3</v>
      </c>
      <c r="K176" s="2">
        <f t="shared" si="25"/>
        <v>285900</v>
      </c>
      <c r="L176" s="2" t="s">
        <v>787</v>
      </c>
      <c r="M176" s="2">
        <f t="shared" si="26"/>
        <v>18700000</v>
      </c>
      <c r="N176" s="2" t="s">
        <v>788</v>
      </c>
      <c r="O176" t="s">
        <v>789</v>
      </c>
      <c r="P176" s="2">
        <f t="shared" si="27"/>
        <v>0.79637883008356547</v>
      </c>
      <c r="Q176" s="4">
        <f t="shared" si="28"/>
        <v>-44.81760277938622</v>
      </c>
      <c r="R176" s="2">
        <f t="shared" si="29"/>
        <v>0.52089136490250698</v>
      </c>
      <c r="S176" s="5">
        <f t="shared" si="30"/>
        <v>8.3565459610027858E-7</v>
      </c>
      <c r="T176" s="2">
        <f t="shared" si="31"/>
        <v>623333.33333333337</v>
      </c>
    </row>
    <row r="177" spans="1:20" x14ac:dyDescent="0.3">
      <c r="A177">
        <v>176</v>
      </c>
      <c r="B177" t="s">
        <v>790</v>
      </c>
      <c r="C177">
        <v>82</v>
      </c>
      <c r="D177">
        <f t="shared" si="24"/>
        <v>1100</v>
      </c>
      <c r="E177" s="3" t="s">
        <v>473</v>
      </c>
      <c r="F177" s="3">
        <f t="shared" si="32"/>
        <v>35600000</v>
      </c>
      <c r="G177" s="3" t="s">
        <v>791</v>
      </c>
      <c r="H177" s="3">
        <f t="shared" si="22"/>
        <v>1300000</v>
      </c>
      <c r="I177" s="2" t="s">
        <v>115</v>
      </c>
      <c r="J177" s="1">
        <v>2.5399999999999999E-2</v>
      </c>
      <c r="K177" s="2">
        <f t="shared" si="25"/>
        <v>780000</v>
      </c>
      <c r="L177" s="2" t="s">
        <v>792</v>
      </c>
      <c r="M177" s="2">
        <f t="shared" si="26"/>
        <v>1500000000</v>
      </c>
      <c r="N177" s="2" t="s">
        <v>132</v>
      </c>
      <c r="O177" t="s">
        <v>891</v>
      </c>
      <c r="P177" s="2">
        <f t="shared" si="27"/>
        <v>2.191011235955056</v>
      </c>
      <c r="Q177" s="4">
        <f t="shared" si="28"/>
        <v>-40</v>
      </c>
      <c r="R177" s="2">
        <f t="shared" si="29"/>
        <v>42.134831460674157</v>
      </c>
      <c r="S177" s="5">
        <f t="shared" si="30"/>
        <v>3.0898876404494381E-5</v>
      </c>
      <c r="T177" s="2">
        <f t="shared" si="31"/>
        <v>1363636.3636363635</v>
      </c>
    </row>
    <row r="178" spans="1:20" x14ac:dyDescent="0.3">
      <c r="A178">
        <v>177</v>
      </c>
      <c r="B178" t="s">
        <v>793</v>
      </c>
      <c r="C178">
        <v>83</v>
      </c>
      <c r="D178">
        <f t="shared" si="24"/>
        <v>2100</v>
      </c>
      <c r="E178" s="3" t="s">
        <v>432</v>
      </c>
      <c r="F178" s="3">
        <f t="shared" si="32"/>
        <v>35600000</v>
      </c>
      <c r="G178" s="3" t="s">
        <v>791</v>
      </c>
      <c r="H178" s="3">
        <f t="shared" si="22"/>
        <v>1100000</v>
      </c>
      <c r="I178" s="2" t="s">
        <v>153</v>
      </c>
      <c r="J178" s="1">
        <v>1.2E-2</v>
      </c>
      <c r="K178" s="2">
        <f t="shared" si="25"/>
        <v>422900</v>
      </c>
      <c r="L178" s="2" t="s">
        <v>794</v>
      </c>
      <c r="M178" s="2">
        <f t="shared" si="26"/>
        <v>2200000000</v>
      </c>
      <c r="N178" s="2" t="s">
        <v>362</v>
      </c>
      <c r="O178" t="s">
        <v>256</v>
      </c>
      <c r="P178" s="2">
        <f t="shared" si="27"/>
        <v>1.1879213483146067</v>
      </c>
      <c r="Q178" s="4">
        <f t="shared" si="28"/>
        <v>-61.554545454545448</v>
      </c>
      <c r="R178" s="2">
        <f t="shared" si="29"/>
        <v>61.797752808988761</v>
      </c>
      <c r="S178" s="5">
        <f t="shared" si="30"/>
        <v>5.8988764044943821E-5</v>
      </c>
      <c r="T178" s="2">
        <f t="shared" si="31"/>
        <v>1047619.0476190476</v>
      </c>
    </row>
    <row r="179" spans="1:20" x14ac:dyDescent="0.3">
      <c r="A179">
        <v>178</v>
      </c>
      <c r="B179" t="s">
        <v>795</v>
      </c>
      <c r="C179">
        <v>78</v>
      </c>
      <c r="D179">
        <f t="shared" si="24"/>
        <v>590</v>
      </c>
      <c r="E179" s="3" t="s">
        <v>535</v>
      </c>
      <c r="F179" s="3">
        <f t="shared" si="32"/>
        <v>35500000</v>
      </c>
      <c r="G179" s="3" t="s">
        <v>796</v>
      </c>
      <c r="H179" s="3">
        <f t="shared" si="22"/>
        <v>2600000</v>
      </c>
      <c r="I179" s="2" t="s">
        <v>556</v>
      </c>
      <c r="J179" s="1">
        <v>5.2299999999999999E-2</v>
      </c>
      <c r="K179" s="2">
        <f t="shared" si="25"/>
        <v>1800000</v>
      </c>
      <c r="L179" s="2" t="s">
        <v>114</v>
      </c>
      <c r="M179" s="2">
        <f t="shared" si="26"/>
        <v>1600000000</v>
      </c>
      <c r="N179" s="2" t="s">
        <v>121</v>
      </c>
      <c r="O179" t="s">
        <v>797</v>
      </c>
      <c r="P179" s="2">
        <f t="shared" si="27"/>
        <v>5.070422535211268</v>
      </c>
      <c r="Q179" s="4">
        <f t="shared" si="28"/>
        <v>-30.76923076923077</v>
      </c>
      <c r="R179" s="2">
        <f t="shared" si="29"/>
        <v>45.070422535211264</v>
      </c>
      <c r="S179" s="5">
        <f t="shared" si="30"/>
        <v>1.6619718309859155E-5</v>
      </c>
      <c r="T179" s="2">
        <f t="shared" si="31"/>
        <v>2711864.4067796608</v>
      </c>
    </row>
    <row r="180" spans="1:20" x14ac:dyDescent="0.3">
      <c r="A180">
        <v>179</v>
      </c>
      <c r="B180" t="s">
        <v>798</v>
      </c>
      <c r="C180">
        <v>81</v>
      </c>
      <c r="D180">
        <f t="shared" si="24"/>
        <v>660</v>
      </c>
      <c r="E180" s="3" t="s">
        <v>73</v>
      </c>
      <c r="F180" s="3">
        <f t="shared" si="32"/>
        <v>35400000</v>
      </c>
      <c r="G180" s="3" t="s">
        <v>799</v>
      </c>
      <c r="H180" s="3">
        <f t="shared" si="22"/>
        <v>1100000</v>
      </c>
      <c r="I180" s="2" t="s">
        <v>153</v>
      </c>
      <c r="J180" s="1">
        <v>1.1900000000000001E-2</v>
      </c>
      <c r="K180" s="2">
        <f t="shared" si="25"/>
        <v>411500</v>
      </c>
      <c r="L180" s="2" t="s">
        <v>800</v>
      </c>
      <c r="M180" s="2">
        <f t="shared" si="26"/>
        <v>739500000</v>
      </c>
      <c r="N180" s="2" t="s">
        <v>801</v>
      </c>
      <c r="O180" t="s">
        <v>23</v>
      </c>
      <c r="P180" s="2">
        <f t="shared" si="27"/>
        <v>1.1624293785310733</v>
      </c>
      <c r="Q180" s="4">
        <f t="shared" si="28"/>
        <v>-62.590909090909086</v>
      </c>
      <c r="R180" s="2">
        <f t="shared" si="29"/>
        <v>20.889830508474578</v>
      </c>
      <c r="S180" s="5">
        <f t="shared" si="30"/>
        <v>1.864406779661017E-5</v>
      </c>
      <c r="T180" s="2">
        <f t="shared" si="31"/>
        <v>1120454.5454545454</v>
      </c>
    </row>
    <row r="181" spans="1:20" x14ac:dyDescent="0.3">
      <c r="A181">
        <v>180</v>
      </c>
      <c r="B181" t="s">
        <v>802</v>
      </c>
      <c r="C181">
        <v>76</v>
      </c>
      <c r="D181">
        <f t="shared" si="24"/>
        <v>1000</v>
      </c>
      <c r="E181" s="3" t="s">
        <v>298</v>
      </c>
      <c r="F181" s="3">
        <f t="shared" si="32"/>
        <v>35300000</v>
      </c>
      <c r="G181" s="3" t="s">
        <v>803</v>
      </c>
      <c r="H181" s="3">
        <f t="shared" si="22"/>
        <v>800400</v>
      </c>
      <c r="I181" s="2" t="s">
        <v>804</v>
      </c>
      <c r="J181" s="1">
        <v>2.0299999999999999E-2</v>
      </c>
      <c r="K181" s="2">
        <f t="shared" si="25"/>
        <v>664500</v>
      </c>
      <c r="L181" s="2" t="s">
        <v>805</v>
      </c>
      <c r="M181" s="2">
        <f t="shared" si="26"/>
        <v>810000000</v>
      </c>
      <c r="N181" s="2" t="s">
        <v>806</v>
      </c>
      <c r="O181" t="s">
        <v>891</v>
      </c>
      <c r="P181" s="2">
        <f t="shared" si="27"/>
        <v>1.8824362606232294</v>
      </c>
      <c r="Q181" s="4">
        <f t="shared" si="28"/>
        <v>-16.979010494752625</v>
      </c>
      <c r="R181" s="2">
        <f t="shared" si="29"/>
        <v>22.946175637393768</v>
      </c>
      <c r="S181" s="5">
        <f t="shared" si="30"/>
        <v>2.8328611898016997E-5</v>
      </c>
      <c r="T181" s="2">
        <f t="shared" si="31"/>
        <v>810000</v>
      </c>
    </row>
    <row r="182" spans="1:20" x14ac:dyDescent="0.3">
      <c r="A182">
        <v>181</v>
      </c>
      <c r="B182" t="s">
        <v>807</v>
      </c>
      <c r="C182">
        <v>72</v>
      </c>
      <c r="D182">
        <f t="shared" si="24"/>
        <v>4400</v>
      </c>
      <c r="E182" s="3" t="s">
        <v>112</v>
      </c>
      <c r="F182" s="3">
        <f t="shared" si="32"/>
        <v>35000000</v>
      </c>
      <c r="G182" s="3" t="s">
        <v>808</v>
      </c>
      <c r="H182" s="3">
        <f t="shared" si="22"/>
        <v>420000</v>
      </c>
      <c r="I182" s="2" t="s">
        <v>809</v>
      </c>
      <c r="J182" s="1">
        <v>6.4999999999999997E-3</v>
      </c>
      <c r="K182" s="2">
        <f t="shared" si="25"/>
        <v>222900</v>
      </c>
      <c r="L182" s="2" t="s">
        <v>810</v>
      </c>
      <c r="M182" s="2">
        <f t="shared" si="26"/>
        <v>1900000000</v>
      </c>
      <c r="N182" s="2" t="s">
        <v>226</v>
      </c>
      <c r="O182" t="s">
        <v>127</v>
      </c>
      <c r="P182" s="2">
        <f t="shared" si="27"/>
        <v>0.63685714285714279</v>
      </c>
      <c r="Q182" s="4">
        <f t="shared" si="28"/>
        <v>-46.928571428571431</v>
      </c>
      <c r="R182" s="2">
        <f t="shared" si="29"/>
        <v>54.285714285714285</v>
      </c>
      <c r="S182" s="5">
        <f t="shared" si="30"/>
        <v>1.2571428571428572E-4</v>
      </c>
      <c r="T182" s="2">
        <f t="shared" si="31"/>
        <v>431818.18181818182</v>
      </c>
    </row>
    <row r="183" spans="1:20" x14ac:dyDescent="0.3">
      <c r="A183">
        <v>182</v>
      </c>
      <c r="B183" t="s">
        <v>811</v>
      </c>
      <c r="C183">
        <v>84</v>
      </c>
      <c r="D183">
        <f t="shared" si="24"/>
        <v>7600</v>
      </c>
      <c r="E183" s="3" t="s">
        <v>812</v>
      </c>
      <c r="F183" s="3">
        <f t="shared" si="32"/>
        <v>34800000</v>
      </c>
      <c r="G183" s="3" t="s">
        <v>813</v>
      </c>
      <c r="H183" s="3">
        <f t="shared" si="22"/>
        <v>226400</v>
      </c>
      <c r="I183" s="2" t="s">
        <v>814</v>
      </c>
      <c r="J183" s="1">
        <v>3.5999999999999999E-3</v>
      </c>
      <c r="K183" s="2">
        <f t="shared" si="25"/>
        <v>121100</v>
      </c>
      <c r="L183" s="2" t="s">
        <v>815</v>
      </c>
      <c r="M183" s="2">
        <f t="shared" si="26"/>
        <v>1700000000</v>
      </c>
      <c r="N183" s="2" t="s">
        <v>300</v>
      </c>
      <c r="O183" t="s">
        <v>127</v>
      </c>
      <c r="P183" s="2">
        <f t="shared" si="27"/>
        <v>0.34798850574712648</v>
      </c>
      <c r="Q183" s="4">
        <f t="shared" si="28"/>
        <v>-46.510600706713781</v>
      </c>
      <c r="R183" s="2">
        <f t="shared" si="29"/>
        <v>48.850574712643677</v>
      </c>
      <c r="S183" s="5">
        <f t="shared" si="30"/>
        <v>2.1839080459770116E-4</v>
      </c>
      <c r="T183" s="2">
        <f t="shared" si="31"/>
        <v>223684.21052631579</v>
      </c>
    </row>
    <row r="184" spans="1:20" x14ac:dyDescent="0.3">
      <c r="A184">
        <v>183</v>
      </c>
      <c r="B184" t="s">
        <v>816</v>
      </c>
      <c r="C184">
        <v>83</v>
      </c>
      <c r="D184">
        <f t="shared" si="24"/>
        <v>4100</v>
      </c>
      <c r="E184" s="3" t="s">
        <v>61</v>
      </c>
      <c r="F184" s="3">
        <f t="shared" si="32"/>
        <v>34800000</v>
      </c>
      <c r="G184" s="3" t="s">
        <v>813</v>
      </c>
      <c r="H184" s="3">
        <f t="shared" si="22"/>
        <v>145400</v>
      </c>
      <c r="I184" s="2" t="s">
        <v>817</v>
      </c>
      <c r="J184" s="1">
        <v>1.6999999999999999E-3</v>
      </c>
      <c r="K184" s="2">
        <f t="shared" si="25"/>
        <v>58600</v>
      </c>
      <c r="L184" s="2" t="s">
        <v>818</v>
      </c>
      <c r="M184" s="2">
        <f t="shared" si="26"/>
        <v>589600000</v>
      </c>
      <c r="N184" s="2" t="s">
        <v>819</v>
      </c>
      <c r="O184" t="s">
        <v>891</v>
      </c>
      <c r="P184" s="2">
        <f t="shared" si="27"/>
        <v>0.16839080459770114</v>
      </c>
      <c r="Q184" s="4">
        <f t="shared" si="28"/>
        <v>-59.697386519944985</v>
      </c>
      <c r="R184" s="2">
        <f t="shared" si="29"/>
        <v>16.942528735632184</v>
      </c>
      <c r="S184" s="5">
        <f t="shared" si="30"/>
        <v>1.1781609195402299E-4</v>
      </c>
      <c r="T184" s="2">
        <f t="shared" si="31"/>
        <v>143804.87804878049</v>
      </c>
    </row>
    <row r="185" spans="1:20" x14ac:dyDescent="0.3">
      <c r="A185">
        <v>184</v>
      </c>
      <c r="B185" t="s">
        <v>820</v>
      </c>
      <c r="C185">
        <v>83</v>
      </c>
      <c r="D185">
        <f t="shared" si="24"/>
        <v>940</v>
      </c>
      <c r="E185" s="3" t="s">
        <v>821</v>
      </c>
      <c r="F185" s="3">
        <f t="shared" si="32"/>
        <v>34700000</v>
      </c>
      <c r="G185" s="3" t="s">
        <v>822</v>
      </c>
      <c r="H185" s="3">
        <f t="shared" ref="H185:H201" si="33">IF(RIGHT(I185,1)="k", VALUE(LEFT(I185,LEN(I185)-1))*1000,
 IF(RIGHT(I185,1)="m", VALUE(LEFT(I185,LEN(I185)-1))*1000000,
 IF(RIGHT(I185,1)="b", VALUE(LEFT(I185,LEN(I185)-1))*1000000000,
 VALUE(I185))))</f>
        <v>597200</v>
      </c>
      <c r="I185" s="2" t="s">
        <v>823</v>
      </c>
      <c r="J185" s="1">
        <v>1.6799999999999999E-2</v>
      </c>
      <c r="K185" s="2">
        <f t="shared" si="25"/>
        <v>533500</v>
      </c>
      <c r="L185" s="2" t="s">
        <v>824</v>
      </c>
      <c r="M185" s="2">
        <f t="shared" si="26"/>
        <v>561300000</v>
      </c>
      <c r="N185" s="2" t="s">
        <v>825</v>
      </c>
      <c r="O185" t="s">
        <v>891</v>
      </c>
      <c r="P185" s="2">
        <f t="shared" si="27"/>
        <v>1.5374639769452449</v>
      </c>
      <c r="Q185" s="4">
        <f t="shared" si="28"/>
        <v>-10.666443402545212</v>
      </c>
      <c r="R185" s="2">
        <f t="shared" si="29"/>
        <v>16.175792507204612</v>
      </c>
      <c r="S185" s="5">
        <f t="shared" si="30"/>
        <v>2.7089337175792506E-5</v>
      </c>
      <c r="T185" s="2">
        <f t="shared" si="31"/>
        <v>597127.65957446804</v>
      </c>
    </row>
    <row r="186" spans="1:20" x14ac:dyDescent="0.3">
      <c r="A186">
        <v>185</v>
      </c>
      <c r="B186" t="s">
        <v>826</v>
      </c>
      <c r="C186">
        <v>68</v>
      </c>
      <c r="D186">
        <f t="shared" si="24"/>
        <v>1900</v>
      </c>
      <c r="E186" s="3" t="s">
        <v>240</v>
      </c>
      <c r="F186" s="3">
        <f t="shared" si="32"/>
        <v>34700000</v>
      </c>
      <c r="G186" s="3" t="s">
        <v>822</v>
      </c>
      <c r="H186" s="3">
        <f t="shared" si="33"/>
        <v>1500000</v>
      </c>
      <c r="I186" s="2" t="s">
        <v>69</v>
      </c>
      <c r="J186" s="1">
        <v>3.49E-2</v>
      </c>
      <c r="K186" s="2">
        <f t="shared" si="25"/>
        <v>1200000</v>
      </c>
      <c r="L186" s="2" t="s">
        <v>163</v>
      </c>
      <c r="M186" s="2">
        <f t="shared" si="26"/>
        <v>2800000000</v>
      </c>
      <c r="N186" s="2" t="s">
        <v>251</v>
      </c>
      <c r="O186" t="s">
        <v>797</v>
      </c>
      <c r="P186" s="2">
        <f t="shared" si="27"/>
        <v>3.4582132564841501</v>
      </c>
      <c r="Q186" s="4">
        <f t="shared" si="28"/>
        <v>-20</v>
      </c>
      <c r="R186" s="2">
        <f t="shared" si="29"/>
        <v>80.691642651296831</v>
      </c>
      <c r="S186" s="5">
        <f t="shared" si="30"/>
        <v>5.4755043227665703E-5</v>
      </c>
      <c r="T186" s="2">
        <f t="shared" si="31"/>
        <v>1473684.2105263157</v>
      </c>
    </row>
    <row r="187" spans="1:20" x14ac:dyDescent="0.3">
      <c r="A187">
        <v>186</v>
      </c>
      <c r="B187" t="s">
        <v>827</v>
      </c>
      <c r="C187">
        <v>84</v>
      </c>
      <c r="D187">
        <f t="shared" si="24"/>
        <v>4600</v>
      </c>
      <c r="E187" s="3" t="s">
        <v>425</v>
      </c>
      <c r="F187" s="3">
        <f t="shared" si="32"/>
        <v>34700000</v>
      </c>
      <c r="G187" s="3" t="s">
        <v>822</v>
      </c>
      <c r="H187" s="3">
        <f t="shared" si="33"/>
        <v>367800</v>
      </c>
      <c r="I187" s="2" t="s">
        <v>828</v>
      </c>
      <c r="J187" s="1">
        <v>5.7000000000000002E-3</v>
      </c>
      <c r="K187" s="2">
        <f t="shared" si="25"/>
        <v>192300</v>
      </c>
      <c r="L187" s="2" t="s">
        <v>829</v>
      </c>
      <c r="M187" s="2">
        <f t="shared" si="26"/>
        <v>1700000000</v>
      </c>
      <c r="N187" s="2" t="s">
        <v>300</v>
      </c>
      <c r="O187" t="s">
        <v>891</v>
      </c>
      <c r="P187" s="2">
        <f t="shared" si="27"/>
        <v>0.55417867435158508</v>
      </c>
      <c r="Q187" s="4">
        <f t="shared" si="28"/>
        <v>-47.71615008156607</v>
      </c>
      <c r="R187" s="2">
        <f t="shared" si="29"/>
        <v>48.991354466858787</v>
      </c>
      <c r="S187" s="5">
        <f t="shared" si="30"/>
        <v>1.3256484149855907E-4</v>
      </c>
      <c r="T187" s="2">
        <f t="shared" si="31"/>
        <v>369565.21739130432</v>
      </c>
    </row>
    <row r="188" spans="1:20" x14ac:dyDescent="0.3">
      <c r="A188">
        <v>187</v>
      </c>
      <c r="B188" t="s">
        <v>830</v>
      </c>
      <c r="C188">
        <v>80</v>
      </c>
      <c r="D188">
        <f t="shared" si="24"/>
        <v>110</v>
      </c>
      <c r="E188" s="3" t="s">
        <v>755</v>
      </c>
      <c r="F188" s="3">
        <f t="shared" si="32"/>
        <v>34600000</v>
      </c>
      <c r="G188" s="3" t="s">
        <v>831</v>
      </c>
      <c r="H188" s="3">
        <f t="shared" si="33"/>
        <v>3100000</v>
      </c>
      <c r="I188" s="2" t="s">
        <v>148</v>
      </c>
      <c r="J188" s="1">
        <v>2.0000000000000001E-4</v>
      </c>
      <c r="K188" s="2">
        <f t="shared" si="25"/>
        <v>0</v>
      </c>
      <c r="L188" s="2">
        <v>0</v>
      </c>
      <c r="M188" s="2">
        <f t="shared" si="26"/>
        <v>350900000</v>
      </c>
      <c r="N188" s="2" t="s">
        <v>832</v>
      </c>
      <c r="O188" t="s">
        <v>23</v>
      </c>
      <c r="P188" s="2">
        <f t="shared" si="27"/>
        <v>0</v>
      </c>
      <c r="Q188" s="4">
        <f t="shared" si="28"/>
        <v>-100</v>
      </c>
      <c r="R188" s="2">
        <f t="shared" si="29"/>
        <v>10.141618497109826</v>
      </c>
      <c r="S188" s="5">
        <f t="shared" si="30"/>
        <v>3.1791907514450866E-6</v>
      </c>
      <c r="T188" s="2">
        <f t="shared" si="31"/>
        <v>3190000</v>
      </c>
    </row>
    <row r="189" spans="1:20" x14ac:dyDescent="0.3">
      <c r="A189">
        <v>188</v>
      </c>
      <c r="B189" t="s">
        <v>833</v>
      </c>
      <c r="C189">
        <v>83</v>
      </c>
      <c r="D189">
        <f t="shared" si="24"/>
        <v>150</v>
      </c>
      <c r="E189" s="3" t="s">
        <v>490</v>
      </c>
      <c r="F189" s="3">
        <f t="shared" si="32"/>
        <v>34200000</v>
      </c>
      <c r="G189" s="3" t="s">
        <v>834</v>
      </c>
      <c r="H189" s="3">
        <f t="shared" si="33"/>
        <v>136200</v>
      </c>
      <c r="I189" s="2" t="s">
        <v>835</v>
      </c>
      <c r="J189" s="1">
        <v>2E-3</v>
      </c>
      <c r="K189" s="2">
        <f t="shared" si="25"/>
        <v>66800</v>
      </c>
      <c r="L189" s="2" t="s">
        <v>836</v>
      </c>
      <c r="M189" s="2">
        <f t="shared" si="26"/>
        <v>21200000</v>
      </c>
      <c r="N189" s="2" t="s">
        <v>837</v>
      </c>
      <c r="O189" t="s">
        <v>891</v>
      </c>
      <c r="P189" s="2">
        <f t="shared" si="27"/>
        <v>0.19532163742690059</v>
      </c>
      <c r="Q189" s="4">
        <f t="shared" si="28"/>
        <v>-50.95447870778267</v>
      </c>
      <c r="R189" s="2">
        <f t="shared" si="29"/>
        <v>0.61988304093567248</v>
      </c>
      <c r="S189" s="5">
        <f t="shared" si="30"/>
        <v>4.3859649122807014E-6</v>
      </c>
      <c r="T189" s="2">
        <f t="shared" si="31"/>
        <v>141333.33333333334</v>
      </c>
    </row>
    <row r="190" spans="1:20" x14ac:dyDescent="0.3">
      <c r="A190">
        <v>189</v>
      </c>
      <c r="B190" t="s">
        <v>838</v>
      </c>
      <c r="C190">
        <v>77</v>
      </c>
      <c r="D190">
        <f t="shared" si="24"/>
        <v>7300</v>
      </c>
      <c r="E190" s="3" t="s">
        <v>180</v>
      </c>
      <c r="F190" s="3">
        <f t="shared" si="32"/>
        <v>34200000</v>
      </c>
      <c r="G190" s="3" t="s">
        <v>834</v>
      </c>
      <c r="H190" s="3">
        <f t="shared" si="33"/>
        <v>185200</v>
      </c>
      <c r="I190" s="2" t="s">
        <v>839</v>
      </c>
      <c r="J190" s="1">
        <v>4.4000000000000003E-3</v>
      </c>
      <c r="K190" s="2">
        <f t="shared" si="25"/>
        <v>132000</v>
      </c>
      <c r="L190" s="2" t="s">
        <v>840</v>
      </c>
      <c r="M190" s="2">
        <f t="shared" si="26"/>
        <v>1400000000</v>
      </c>
      <c r="N190" s="2" t="s">
        <v>714</v>
      </c>
      <c r="O190" t="s">
        <v>23</v>
      </c>
      <c r="P190" s="2">
        <f t="shared" si="27"/>
        <v>0.38596491228070179</v>
      </c>
      <c r="Q190" s="4">
        <f t="shared" si="28"/>
        <v>-28.725701943844495</v>
      </c>
      <c r="R190" s="2">
        <f t="shared" si="29"/>
        <v>40.935672514619881</v>
      </c>
      <c r="S190" s="5">
        <f t="shared" si="30"/>
        <v>2.1345029239766081E-4</v>
      </c>
      <c r="T190" s="2">
        <f t="shared" si="31"/>
        <v>191780.82191780821</v>
      </c>
    </row>
    <row r="191" spans="1:20" x14ac:dyDescent="0.3">
      <c r="A191">
        <v>190</v>
      </c>
      <c r="B191" t="s">
        <v>841</v>
      </c>
      <c r="C191">
        <v>83</v>
      </c>
      <c r="D191">
        <f t="shared" si="24"/>
        <v>6300</v>
      </c>
      <c r="E191" s="3" t="s">
        <v>842</v>
      </c>
      <c r="F191" s="3">
        <f t="shared" si="32"/>
        <v>34100000</v>
      </c>
      <c r="G191" s="3" t="s">
        <v>843</v>
      </c>
      <c r="H191" s="3">
        <f t="shared" si="33"/>
        <v>732400</v>
      </c>
      <c r="I191" s="2" t="s">
        <v>844</v>
      </c>
      <c r="J191" s="1">
        <v>7.3000000000000001E-3</v>
      </c>
      <c r="K191" s="2">
        <f t="shared" si="25"/>
        <v>247500</v>
      </c>
      <c r="L191" s="2" t="s">
        <v>845</v>
      </c>
      <c r="M191" s="2">
        <f t="shared" si="26"/>
        <v>4600000000</v>
      </c>
      <c r="N191" s="2" t="s">
        <v>846</v>
      </c>
      <c r="O191" t="s">
        <v>23</v>
      </c>
      <c r="P191" s="2">
        <f t="shared" si="27"/>
        <v>0.72580645161290325</v>
      </c>
      <c r="Q191" s="4">
        <f t="shared" si="28"/>
        <v>-66.206990715456044</v>
      </c>
      <c r="R191" s="2">
        <f t="shared" si="29"/>
        <v>134.89736070381232</v>
      </c>
      <c r="S191" s="5">
        <f t="shared" si="30"/>
        <v>1.8475073313782992E-4</v>
      </c>
      <c r="T191" s="2">
        <f t="shared" si="31"/>
        <v>730158.73015873018</v>
      </c>
    </row>
    <row r="192" spans="1:20" x14ac:dyDescent="0.3">
      <c r="A192">
        <v>191</v>
      </c>
      <c r="B192" t="s">
        <v>847</v>
      </c>
      <c r="C192">
        <v>79</v>
      </c>
      <c r="D192">
        <f t="shared" si="24"/>
        <v>9300</v>
      </c>
      <c r="E192" s="3" t="s">
        <v>848</v>
      </c>
      <c r="F192" s="3">
        <f t="shared" si="32"/>
        <v>33700000</v>
      </c>
      <c r="G192" s="3" t="s">
        <v>849</v>
      </c>
      <c r="H192" s="3">
        <f t="shared" si="33"/>
        <v>231300</v>
      </c>
      <c r="I192" s="2" t="s">
        <v>850</v>
      </c>
      <c r="J192" s="1">
        <v>2.3E-3</v>
      </c>
      <c r="K192" s="2">
        <f t="shared" si="25"/>
        <v>76500</v>
      </c>
      <c r="L192" s="2" t="s">
        <v>851</v>
      </c>
      <c r="M192" s="2">
        <f t="shared" si="26"/>
        <v>2200000000</v>
      </c>
      <c r="N192" s="2" t="s">
        <v>362</v>
      </c>
      <c r="O192" t="s">
        <v>852</v>
      </c>
      <c r="P192" s="2">
        <f t="shared" si="27"/>
        <v>0.22700296735905043</v>
      </c>
      <c r="Q192" s="4">
        <f t="shared" si="28"/>
        <v>-66.926070038910495</v>
      </c>
      <c r="R192" s="2">
        <f t="shared" si="29"/>
        <v>65.281899109792292</v>
      </c>
      <c r="S192" s="5">
        <f t="shared" si="30"/>
        <v>2.7596439169139467E-4</v>
      </c>
      <c r="T192" s="2">
        <f t="shared" si="31"/>
        <v>236559.13978494622</v>
      </c>
    </row>
    <row r="193" spans="1:20" x14ac:dyDescent="0.3">
      <c r="A193">
        <v>192</v>
      </c>
      <c r="B193" t="s">
        <v>853</v>
      </c>
      <c r="C193">
        <v>84</v>
      </c>
      <c r="D193">
        <f t="shared" si="24"/>
        <v>1400</v>
      </c>
      <c r="E193" s="3" t="s">
        <v>102</v>
      </c>
      <c r="F193" s="3">
        <f t="shared" si="32"/>
        <v>33600000</v>
      </c>
      <c r="G193" s="3" t="s">
        <v>854</v>
      </c>
      <c r="H193" s="3">
        <f t="shared" si="33"/>
        <v>2000000</v>
      </c>
      <c r="I193" s="2" t="s">
        <v>58</v>
      </c>
      <c r="J193" s="1">
        <v>3.5799999999999998E-2</v>
      </c>
      <c r="K193" s="2">
        <f t="shared" si="25"/>
        <v>1200000</v>
      </c>
      <c r="L193" s="2" t="s">
        <v>163</v>
      </c>
      <c r="M193" s="2">
        <f t="shared" si="26"/>
        <v>2800000000</v>
      </c>
      <c r="N193" s="2" t="s">
        <v>251</v>
      </c>
      <c r="O193" t="s">
        <v>71</v>
      </c>
      <c r="P193" s="2">
        <f t="shared" si="27"/>
        <v>3.5714285714285712</v>
      </c>
      <c r="Q193" s="4">
        <f t="shared" si="28"/>
        <v>-40</v>
      </c>
      <c r="R193" s="2">
        <f t="shared" si="29"/>
        <v>83.333333333333329</v>
      </c>
      <c r="S193" s="5">
        <f t="shared" si="30"/>
        <v>4.1666666666666665E-5</v>
      </c>
      <c r="T193" s="2">
        <f t="shared" si="31"/>
        <v>2000000</v>
      </c>
    </row>
    <row r="194" spans="1:20" x14ac:dyDescent="0.3">
      <c r="A194">
        <v>193</v>
      </c>
      <c r="B194" t="s">
        <v>855</v>
      </c>
      <c r="C194">
        <v>63</v>
      </c>
      <c r="D194">
        <f t="shared" si="24"/>
        <v>4500</v>
      </c>
      <c r="E194" s="3" t="s">
        <v>683</v>
      </c>
      <c r="F194" s="3">
        <f t="shared" ref="F194:F225" si="34">IF(RIGHT(G194,1)="m",VALUE(LEFT(G194,LEN(G194)-1))*1000000)</f>
        <v>33500000</v>
      </c>
      <c r="G194" s="3" t="s">
        <v>856</v>
      </c>
      <c r="H194" s="3">
        <f t="shared" si="33"/>
        <v>685100</v>
      </c>
      <c r="I194" s="2" t="s">
        <v>857</v>
      </c>
      <c r="J194" s="1">
        <v>6.7000000000000002E-3</v>
      </c>
      <c r="K194" s="2">
        <f t="shared" si="25"/>
        <v>220700</v>
      </c>
      <c r="L194" s="2" t="s">
        <v>858</v>
      </c>
      <c r="M194" s="2">
        <f t="shared" si="26"/>
        <v>3100000000</v>
      </c>
      <c r="N194" s="2" t="s">
        <v>859</v>
      </c>
      <c r="O194" t="s">
        <v>860</v>
      </c>
      <c r="P194" s="2">
        <f t="shared" si="27"/>
        <v>0.65880597014925368</v>
      </c>
      <c r="Q194" s="4">
        <f t="shared" si="28"/>
        <v>-67.785724711720917</v>
      </c>
      <c r="R194" s="2">
        <f t="shared" si="29"/>
        <v>92.537313432835816</v>
      </c>
      <c r="S194" s="5">
        <f t="shared" si="30"/>
        <v>1.3432835820895522E-4</v>
      </c>
      <c r="T194" s="2">
        <f t="shared" si="31"/>
        <v>688888.88888888888</v>
      </c>
    </row>
    <row r="195" spans="1:20" x14ac:dyDescent="0.3">
      <c r="A195">
        <v>194</v>
      </c>
      <c r="B195" t="s">
        <v>861</v>
      </c>
      <c r="C195">
        <v>41</v>
      </c>
      <c r="D195">
        <f t="shared" ref="D195:D201" si="35">IF(RIGHT(E195,1)="k",VALUE(LEFT(E195,LEN(E195)-1))*1000)</f>
        <v>370</v>
      </c>
      <c r="E195" s="3" t="s">
        <v>862</v>
      </c>
      <c r="F195" s="3">
        <f t="shared" si="34"/>
        <v>33500000</v>
      </c>
      <c r="G195" s="3" t="s">
        <v>856</v>
      </c>
      <c r="H195" s="3">
        <f t="shared" si="33"/>
        <v>1100000</v>
      </c>
      <c r="I195" s="2" t="s">
        <v>153</v>
      </c>
      <c r="J195" s="1">
        <v>1.61E-2</v>
      </c>
      <c r="K195" s="2">
        <f t="shared" ref="K195:K201" si="36">IF(RIGHT(L195,1)="k", VALUE(LEFT(L195,LEN(L195)-1))*1000,
 IF(RIGHT(L195,1)="m", VALUE(LEFT(L195,LEN(L195)-1))*1000000,
 IF(RIGHT(L195,1)="b", VALUE(LEFT(L195,LEN(L195)-1))*1000000000,
 VALUE(L195))))</f>
        <v>532700</v>
      </c>
      <c r="L195" s="2" t="s">
        <v>863</v>
      </c>
      <c r="M195" s="2">
        <f t="shared" ref="M195:M201" si="37">IF(RIGHT(N195,1)="k", VALUE(LEFT(N195,LEN(N195)-1))*1000,
 IF(RIGHT(N195,1)="m", VALUE(LEFT(N195,LEN(N195)-1))*1000000,
 IF(RIGHT(N195,1)="b", VALUE(LEFT(N195,LEN(N195)-1))*1000000000,
 VALUE(N195))))</f>
        <v>391900000</v>
      </c>
      <c r="N195" s="2" t="s">
        <v>864</v>
      </c>
      <c r="O195" t="s">
        <v>349</v>
      </c>
      <c r="P195" s="2">
        <f t="shared" ref="P195:P201" si="38">(K195 / F195) * 100</f>
        <v>1.5901492537313433</v>
      </c>
      <c r="Q195" s="4">
        <f t="shared" ref="Q195:Q201" si="39">((K195 - H195) / H195) * 100</f>
        <v>-51.572727272727271</v>
      </c>
      <c r="R195" s="2">
        <f t="shared" ref="R195:R201" si="40">M195 / F195</f>
        <v>11.698507462686567</v>
      </c>
      <c r="S195" s="5">
        <f t="shared" ref="S195:S201" si="41">D195 / F195</f>
        <v>1.1044776119402984E-5</v>
      </c>
      <c r="T195" s="2">
        <f t="shared" ref="T195:T201" si="42">M195 / D195</f>
        <v>1059189.1891891891</v>
      </c>
    </row>
    <row r="196" spans="1:20" x14ac:dyDescent="0.3">
      <c r="A196">
        <v>195</v>
      </c>
      <c r="B196" t="s">
        <v>865</v>
      </c>
      <c r="C196">
        <v>75</v>
      </c>
      <c r="D196">
        <f t="shared" si="35"/>
        <v>4800</v>
      </c>
      <c r="E196" s="3" t="s">
        <v>157</v>
      </c>
      <c r="F196" s="3">
        <f t="shared" si="34"/>
        <v>33299999.999999996</v>
      </c>
      <c r="G196" s="3" t="s">
        <v>866</v>
      </c>
      <c r="H196" s="3">
        <f t="shared" si="33"/>
        <v>264700</v>
      </c>
      <c r="I196" s="2" t="s">
        <v>867</v>
      </c>
      <c r="J196" s="1">
        <v>6.3E-3</v>
      </c>
      <c r="K196" s="2">
        <f t="shared" si="36"/>
        <v>209200</v>
      </c>
      <c r="L196" s="2" t="s">
        <v>868</v>
      </c>
      <c r="M196" s="2">
        <f t="shared" si="37"/>
        <v>1300000000</v>
      </c>
      <c r="N196" s="2" t="s">
        <v>94</v>
      </c>
      <c r="O196" t="s">
        <v>256</v>
      </c>
      <c r="P196" s="2">
        <f t="shared" si="38"/>
        <v>0.62822822822822832</v>
      </c>
      <c r="Q196" s="4">
        <f t="shared" si="39"/>
        <v>-20.96713260294673</v>
      </c>
      <c r="R196" s="2">
        <f t="shared" si="40"/>
        <v>39.039039039039046</v>
      </c>
      <c r="S196" s="5">
        <f t="shared" si="41"/>
        <v>1.4414414414414415E-4</v>
      </c>
      <c r="T196" s="2">
        <f t="shared" si="42"/>
        <v>270833.33333333331</v>
      </c>
    </row>
    <row r="197" spans="1:20" x14ac:dyDescent="0.3">
      <c r="A197">
        <v>196</v>
      </c>
      <c r="B197" t="s">
        <v>869</v>
      </c>
      <c r="C197">
        <v>71</v>
      </c>
      <c r="D197">
        <f t="shared" si="35"/>
        <v>2300</v>
      </c>
      <c r="E197" s="3" t="s">
        <v>161</v>
      </c>
      <c r="F197" s="3">
        <f t="shared" si="34"/>
        <v>33200000.000000004</v>
      </c>
      <c r="G197" s="3" t="s">
        <v>870</v>
      </c>
      <c r="H197" s="3">
        <f t="shared" si="33"/>
        <v>623800</v>
      </c>
      <c r="I197" s="2" t="s">
        <v>871</v>
      </c>
      <c r="J197" s="1">
        <v>1.4E-2</v>
      </c>
      <c r="K197" s="2">
        <f t="shared" si="36"/>
        <v>464700</v>
      </c>
      <c r="L197" s="2" t="s">
        <v>872</v>
      </c>
      <c r="M197" s="2">
        <f t="shared" si="37"/>
        <v>1400000000</v>
      </c>
      <c r="N197" s="2" t="s">
        <v>714</v>
      </c>
      <c r="O197" t="s">
        <v>23</v>
      </c>
      <c r="P197" s="2">
        <f t="shared" si="38"/>
        <v>1.3996987951807227</v>
      </c>
      <c r="Q197" s="4">
        <f t="shared" si="39"/>
        <v>-25.504969541519717</v>
      </c>
      <c r="R197" s="2">
        <f t="shared" si="40"/>
        <v>42.168674698795179</v>
      </c>
      <c r="S197" s="5">
        <f t="shared" si="41"/>
        <v>6.9277108433734926E-5</v>
      </c>
      <c r="T197" s="2">
        <f t="shared" si="42"/>
        <v>608695.65217391308</v>
      </c>
    </row>
    <row r="198" spans="1:20" x14ac:dyDescent="0.3">
      <c r="A198">
        <v>197</v>
      </c>
      <c r="B198" t="s">
        <v>873</v>
      </c>
      <c r="C198">
        <v>81</v>
      </c>
      <c r="D198">
        <f t="shared" si="35"/>
        <v>3800</v>
      </c>
      <c r="E198" s="3" t="s">
        <v>874</v>
      </c>
      <c r="F198" s="3">
        <f t="shared" si="34"/>
        <v>33200000.000000004</v>
      </c>
      <c r="G198" s="3" t="s">
        <v>870</v>
      </c>
      <c r="H198" s="3">
        <f t="shared" si="33"/>
        <v>390400</v>
      </c>
      <c r="I198" s="2" t="s">
        <v>875</v>
      </c>
      <c r="J198" s="1">
        <v>6.4000000000000003E-3</v>
      </c>
      <c r="K198" s="2">
        <f t="shared" si="36"/>
        <v>208000</v>
      </c>
      <c r="L198" s="2" t="s">
        <v>876</v>
      </c>
      <c r="M198" s="2">
        <f t="shared" si="37"/>
        <v>1500000000</v>
      </c>
      <c r="N198" s="2" t="s">
        <v>132</v>
      </c>
      <c r="O198" t="s">
        <v>349</v>
      </c>
      <c r="P198" s="2">
        <f t="shared" si="38"/>
        <v>0.62650602409638545</v>
      </c>
      <c r="Q198" s="4">
        <f t="shared" si="39"/>
        <v>-46.721311475409841</v>
      </c>
      <c r="R198" s="2">
        <f t="shared" si="40"/>
        <v>45.180722891566262</v>
      </c>
      <c r="S198" s="5">
        <f t="shared" si="41"/>
        <v>1.1445783132530119E-4</v>
      </c>
      <c r="T198" s="2">
        <f t="shared" si="42"/>
        <v>394736.84210526315</v>
      </c>
    </row>
    <row r="199" spans="1:20" x14ac:dyDescent="0.3">
      <c r="A199">
        <v>198</v>
      </c>
      <c r="B199" t="s">
        <v>877</v>
      </c>
      <c r="C199">
        <v>79</v>
      </c>
      <c r="D199">
        <f t="shared" si="35"/>
        <v>770</v>
      </c>
      <c r="E199" s="3" t="s">
        <v>878</v>
      </c>
      <c r="F199" s="3">
        <f t="shared" si="34"/>
        <v>33200000.000000004</v>
      </c>
      <c r="G199" s="3" t="s">
        <v>870</v>
      </c>
      <c r="H199" s="3">
        <f t="shared" si="33"/>
        <v>193300</v>
      </c>
      <c r="I199" s="2" t="s">
        <v>879</v>
      </c>
      <c r="J199" s="1">
        <v>2.5999999999999999E-3</v>
      </c>
      <c r="K199" s="2">
        <f t="shared" si="36"/>
        <v>82600</v>
      </c>
      <c r="L199" s="2" t="s">
        <v>880</v>
      </c>
      <c r="M199" s="2">
        <f t="shared" si="37"/>
        <v>149200000</v>
      </c>
      <c r="N199" s="2" t="s">
        <v>881</v>
      </c>
      <c r="O199" t="s">
        <v>127</v>
      </c>
      <c r="P199" s="2">
        <f t="shared" si="38"/>
        <v>0.24879518072289153</v>
      </c>
      <c r="Q199" s="4">
        <f t="shared" si="39"/>
        <v>-57.26849456802897</v>
      </c>
      <c r="R199" s="2">
        <f t="shared" si="40"/>
        <v>4.4939759036144578</v>
      </c>
      <c r="S199" s="5">
        <f t="shared" si="41"/>
        <v>2.3192771084337346E-5</v>
      </c>
      <c r="T199" s="2">
        <f t="shared" si="42"/>
        <v>193766.23376623375</v>
      </c>
    </row>
    <row r="200" spans="1:20" x14ac:dyDescent="0.3">
      <c r="A200">
        <v>199</v>
      </c>
      <c r="B200" t="s">
        <v>882</v>
      </c>
      <c r="C200">
        <v>78</v>
      </c>
      <c r="D200">
        <f t="shared" si="35"/>
        <v>2300</v>
      </c>
      <c r="E200" s="3" t="s">
        <v>161</v>
      </c>
      <c r="F200" s="3">
        <f t="shared" si="34"/>
        <v>33000000</v>
      </c>
      <c r="G200" s="3" t="s">
        <v>883</v>
      </c>
      <c r="H200" s="3">
        <f t="shared" si="33"/>
        <v>719600</v>
      </c>
      <c r="I200" s="2" t="s">
        <v>884</v>
      </c>
      <c r="J200" s="1">
        <v>1.4200000000000001E-2</v>
      </c>
      <c r="K200" s="2">
        <f t="shared" si="36"/>
        <v>467700</v>
      </c>
      <c r="L200" s="2" t="s">
        <v>885</v>
      </c>
      <c r="M200" s="2">
        <f t="shared" si="37"/>
        <v>1700000000</v>
      </c>
      <c r="N200" s="2" t="s">
        <v>300</v>
      </c>
      <c r="O200" t="s">
        <v>23</v>
      </c>
      <c r="P200" s="2">
        <f t="shared" si="38"/>
        <v>1.4172727272727272</v>
      </c>
      <c r="Q200" s="4">
        <f t="shared" si="39"/>
        <v>-35.005558643690939</v>
      </c>
      <c r="R200" s="2">
        <f t="shared" si="40"/>
        <v>51.515151515151516</v>
      </c>
      <c r="S200" s="5">
        <f t="shared" si="41"/>
        <v>6.9696969696969699E-5</v>
      </c>
      <c r="T200" s="2">
        <f t="shared" si="42"/>
        <v>739130.43478260865</v>
      </c>
    </row>
    <row r="201" spans="1:20" x14ac:dyDescent="0.3">
      <c r="A201">
        <v>200</v>
      </c>
      <c r="B201" t="s">
        <v>886</v>
      </c>
      <c r="C201">
        <v>80</v>
      </c>
      <c r="D201">
        <f t="shared" si="35"/>
        <v>4200</v>
      </c>
      <c r="E201" s="3" t="s">
        <v>539</v>
      </c>
      <c r="F201" s="3">
        <f t="shared" si="34"/>
        <v>32799999.999999996</v>
      </c>
      <c r="G201" s="3" t="s">
        <v>887</v>
      </c>
      <c r="H201" s="3">
        <f t="shared" si="33"/>
        <v>232200</v>
      </c>
      <c r="I201" s="2" t="s">
        <v>888</v>
      </c>
      <c r="J201" s="1">
        <v>3.0000000000000001E-3</v>
      </c>
      <c r="K201" s="2">
        <f t="shared" si="36"/>
        <v>97400</v>
      </c>
      <c r="L201" s="2" t="s">
        <v>889</v>
      </c>
      <c r="M201" s="2">
        <f t="shared" si="37"/>
        <v>969100000</v>
      </c>
      <c r="N201" s="2" t="s">
        <v>890</v>
      </c>
      <c r="O201" t="s">
        <v>323</v>
      </c>
      <c r="P201" s="2">
        <f t="shared" si="38"/>
        <v>0.29695121951219516</v>
      </c>
      <c r="Q201" s="4">
        <f t="shared" si="39"/>
        <v>-58.053402239448751</v>
      </c>
      <c r="R201" s="2">
        <f t="shared" si="40"/>
        <v>29.545731707317078</v>
      </c>
      <c r="S201" s="5">
        <f t="shared" si="41"/>
        <v>1.2804878048780488E-4</v>
      </c>
      <c r="T201" s="2">
        <f t="shared" si="42"/>
        <v>230738.09523809524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Influence Score</vt:lpstr>
      <vt:lpstr>Followers&amp;Engagement by Country</vt:lpstr>
      <vt:lpstr>Average Likes vs Followers</vt:lpstr>
      <vt:lpstr>Growth in Likes by Influencer</vt:lpstr>
      <vt:lpstr>top_insta_influencers_data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Kushi K</dc:creator>
  <cp:lastModifiedBy>Kushi K</cp:lastModifiedBy>
  <dcterms:created xsi:type="dcterms:W3CDTF">2025-11-07T11:33:20Z</dcterms:created>
  <dcterms:modified xsi:type="dcterms:W3CDTF">2025-11-07T16:52:30Z</dcterms:modified>
</cp:coreProperties>
</file>