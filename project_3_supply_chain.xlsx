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d615aaf63cd41801/Desktop/"/>
    </mc:Choice>
  </mc:AlternateContent>
  <xr:revisionPtr revIDLastSave="0" documentId="8_{9729602A-28BF-46B2-A90B-8976D67B3534}" xr6:coauthVersionLast="47" xr6:coauthVersionMax="47" xr10:uidLastSave="{00000000-0000-0000-0000-000000000000}"/>
  <bookViews>
    <workbookView xWindow="-108" yWindow="-108" windowWidth="23256" windowHeight="12456" xr2:uid="{49694205-4E57-4A66-9F5D-84747C6EC15B}"/>
  </bookViews>
  <sheets>
    <sheet name="Dashboard" sheetId="7" r:id="rId1"/>
    <sheet name="Revenue by product type" sheetId="2" r:id="rId2"/>
    <sheet name="Inventory anaysis" sheetId="3" r:id="rId3"/>
    <sheet name="Shipping cost by carrier" sheetId="4" r:id="rId4"/>
    <sheet name="Order Quantity vs Lead Time" sheetId="5" r:id="rId5"/>
    <sheet name="Profit by Product Type" sheetId="6" r:id="rId6"/>
    <sheet name="supply_chain_data" sheetId="1" r:id="rId7"/>
  </sheets>
  <definedNames>
    <definedName name="Slicer_Location">#N/A</definedName>
    <definedName name="Slicer_Product_type">#N/A</definedName>
    <definedName name="Slicer_Supplier_nam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C101" i="1" l="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3" i="1"/>
  <c r="Y4" i="1"/>
  <c r="Y5" i="1"/>
  <c r="Y6" i="1"/>
  <c r="Y7" i="1"/>
  <c r="Y8" i="1"/>
  <c r="Y9" i="1"/>
  <c r="Y10" i="1"/>
  <c r="Y11" i="1"/>
  <c r="Y12" i="1"/>
  <c r="Y13" i="1"/>
  <c r="Y2" i="1"/>
</calcChain>
</file>

<file path=xl/sharedStrings.xml><?xml version="1.0" encoding="utf-8"?>
<sst xmlns="http://schemas.openxmlformats.org/spreadsheetml/2006/main" count="981" uniqueCount="175">
  <si>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</si>
  <si>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</si>
  <si>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</si>
  <si>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</si>
  <si>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</si>
  <si>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</si>
  <si>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</si>
  <si>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</si>
  <si>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</si>
  <si>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</si>
  <si>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</si>
  <si>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</si>
  <si>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</si>
  <si>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</si>
  <si>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</si>
  <si>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</si>
  <si>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</si>
  <si>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</si>
  <si>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</si>
  <si>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</si>
  <si>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</si>
  <si>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</si>
  <si>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</si>
  <si>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</si>
  <si>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</si>
  <si>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</si>
  <si>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</si>
  <si>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</si>
  <si>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</si>
  <si>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</si>
  <si>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</si>
  <si>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</si>
  <si>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</si>
  <si>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</si>
  <si>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</si>
  <si>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</si>
  <si>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</si>
  <si>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</si>
  <si>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</si>
  <si>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</si>
  <si>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</si>
  <si>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</si>
  <si>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</si>
  <si>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</si>
  <si>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</si>
  <si>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</si>
  <si>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</si>
  <si>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</si>
  <si>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</si>
  <si>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</si>
  <si>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</si>
  <si>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</si>
  <si>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</si>
  <si>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</si>
  <si>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</si>
  <si>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</si>
  <si>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</si>
  <si>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</si>
  <si>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</si>
  <si>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</si>
  <si>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</si>
  <si>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</si>
  <si>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</si>
  <si>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</si>
  <si>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</si>
  <si>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</si>
  <si>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</si>
  <si>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</si>
  <si>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</si>
  <si>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</si>
  <si>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</si>
  <si>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</si>
  <si>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</si>
  <si>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</si>
  <si>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</si>
  <si>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</si>
  <si>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</si>
  <si>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</si>
  <si>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</si>
  <si>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</si>
  <si>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</si>
  <si>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</si>
  <si>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</si>
  <si>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</si>
  <si>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</si>
  <si>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</si>
  <si>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</si>
  <si>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</si>
  <si>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</si>
  <si>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</si>
  <si>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</si>
  <si>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</si>
  <si>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</si>
  <si>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</si>
  <si>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</si>
  <si>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</si>
  <si>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</si>
  <si>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</si>
  <si>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</si>
  <si>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</si>
  <si>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</si>
  <si>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</si>
  <si>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</si>
  <si>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</si>
  <si>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</si>
  <si>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</si>
  <si>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</si>
  <si>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</si>
  <si>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</si>
  <si>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</si>
  <si>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</si>
  <si>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</si>
  <si>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</si>
  <si>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</si>
  <si>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</si>
  <si>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</si>
  <si>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</si>
  <si>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</si>
  <si>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</si>
  <si>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</si>
  <si>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</si>
  <si>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</si>
  <si>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</si>
  <si>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</si>
  <si>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</si>
  <si>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</si>
  <si>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</si>
  <si>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</si>
  <si>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</si>
  <si>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</si>
  <si>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</si>
  <si>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</si>
  <si>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</si>
  <si>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</si>
  <si>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</si>
  <si>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</si>
  <si>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</si>
  <si>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</si>
  <si>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</si>
  <si>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</si>
  <si>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</si>
  <si>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</si>
  <si>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</si>
  <si>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</si>
  <si>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</si>
  <si>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</si>
  <si>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</si>
  <si>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</si>
  <si>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</si>
  <si>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</si>
  <si>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</si>
  <si>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</si>
  <si>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</si>
  <si>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</si>
  <si>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Profit</t>
  </si>
  <si>
    <t>Average Selling Price per Unit</t>
  </si>
  <si>
    <t>Cost per Unit</t>
  </si>
  <si>
    <t>Inventory Remaining %</t>
  </si>
  <si>
    <t>Defective Units</t>
  </si>
  <si>
    <t>Row Labels</t>
  </si>
  <si>
    <t>Grand Total</t>
  </si>
  <si>
    <t>Sum of Revenue generated</t>
  </si>
  <si>
    <t>Sum of Stock levels</t>
  </si>
  <si>
    <t>Sum of Shipping costs</t>
  </si>
  <si>
    <t>Column Labels</t>
  </si>
  <si>
    <t>Sum of Order quantities</t>
  </si>
  <si>
    <t>Average of Lead times</t>
  </si>
  <si>
    <t>Sum of Profit</t>
  </si>
  <si>
    <t>Revenue by product type</t>
  </si>
  <si>
    <t>Cost distribution by Shipping Carrier</t>
  </si>
  <si>
    <t>Inventory trends over products</t>
  </si>
  <si>
    <t>Average Lead Time by Supplier</t>
  </si>
  <si>
    <t>Profit by Product Type</t>
  </si>
  <si>
    <t>Supply Chain Management Dashboard</t>
  </si>
  <si>
    <t>Prepared by Kushi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</si>
</sst>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0"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[project_3_supply_chain.xlsx]Revenue by product type!PivotTable1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by product type'!$B$3</c:f>
              <c:strCache>
                <c:ptCount val="1"/>
                <c:pt idx="0">
                  <c:v>Total</c:v>
                </c:pt>
              </c:strCache>
            </c:strRef>
          </c:tx>
          <c:spPr>
            <a:solidFill>
              <a:schemeClr val="accent1"/>
            </a:solidFill>
            <a:ln>
              <a:noFill/>
            </a:ln>
            <a:effectLst/>
            <a:sp3d/>
          </c:spPr>
          <c:invertIfNegative val="0"/>
          <c:cat>
            <c:strRef>
              <c:f>'Revenue by product type'!$A$4:$A$7</c:f>
              <c:strCache>
                <c:ptCount val="3"/>
                <c:pt idx="0">
                  <c:v>cosmetics</c:v>
                </c:pt>
                <c:pt idx="1">
                  <c:v>haircare</c:v>
                </c:pt>
                <c:pt idx="2">
                  <c:v>skincare</c:v>
                </c:pt>
              </c:strCache>
            </c:strRef>
          </c:cat>
          <c:val>
            <c:numRef>
              <c:f>'Revenue by product type'!$B$4:$B$7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1988-4D19-AFFB-23BE5D1FD736}"/>
            </c:ext>
          </c:extLst>
        </c:ser>
        <c:dLbls>
          <c:showLegendKey val="0"/>
          <c:showVal val="0"/>
          <c:showCatName val="0"/>
          <c:showSerName val="0"/>
          <c:showPercent val="0"/>
          <c:showBubbleSize val="0"/>
        </c:dLbls>
        <c:gapWidth val="150"/>
        <c:shape val="box"/>
        <c:axId val="254066384"/>
        <c:axId val="254066864"/>
        <c:axId val="0"/>
      </c:bar3DChart>
      <c:catAx>
        <c:axId val="25406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6864"/>
        <c:crosses val="autoZero"/>
        <c:auto val="1"/>
        <c:lblAlgn val="ctr"/>
        <c:lblOffset val="100"/>
        <c:noMultiLvlLbl val="0"/>
      </c:catAx>
      <c:valAx>
        <c:axId val="25406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[project_3_supply_chain.xlsx]Inventory anaysis!PivotTable2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anaysis'!$B$3</c:f>
              <c:strCache>
                <c:ptCount val="1"/>
                <c:pt idx="0">
                  <c:v>Total</c:v>
                </c:pt>
              </c:strCache>
            </c:strRef>
          </c:tx>
          <c:spPr>
            <a:solidFill>
              <a:schemeClr val="accent1"/>
            </a:solidFill>
            <a:ln>
              <a:noFill/>
            </a:ln>
            <a:effectLst/>
          </c:spPr>
          <c:invertIfNegative val="0"/>
          <c:cat>
            <c:strRef>
              <c:f>'Inventory anaysis'!$A$4:$A$7</c:f>
              <c:strCache>
                <c:ptCount val="3"/>
                <c:pt idx="0">
                  <c:v>cosmetics</c:v>
                </c:pt>
                <c:pt idx="1">
                  <c:v>haircare</c:v>
                </c:pt>
                <c:pt idx="2">
                  <c:v>skincare</c:v>
                </c:pt>
              </c:strCache>
            </c:strRef>
          </c:cat>
          <c:val>
            <c:numRef>
              <c:f>'Inventory anaysis'!$B$4:$B$7</c:f>
              <c:numCache>
                <c:formatCode>General</c:formatCode>
                <c:ptCount val="3"/>
                <c:pt idx="0">
                  <c:v>1525</c:v>
                </c:pt>
                <c:pt idx="1">
                  <c:v>1644</c:v>
                </c:pt>
                <c:pt idx="2">
                  <c:v>1608</c:v>
                </c:pt>
              </c:numCache>
            </c:numRef>
          </c:val>
          <c:extLst>
            <c:ext xmlns:c16="http://schemas.microsoft.com/office/drawing/2014/chart" uri="{C3380CC4-5D6E-409C-BE32-E72D297353CC}">
              <c16:uniqueId val="{00000000-7910-440A-B683-892B24F22703}"/>
            </c:ext>
          </c:extLst>
        </c:ser>
        <c:dLbls>
          <c:showLegendKey val="0"/>
          <c:showVal val="0"/>
          <c:showCatName val="0"/>
          <c:showSerName val="0"/>
          <c:showPercent val="0"/>
          <c:showBubbleSize val="0"/>
        </c:dLbls>
        <c:gapWidth val="219"/>
        <c:axId val="254019824"/>
        <c:axId val="254015984"/>
      </c:barChart>
      <c:catAx>
        <c:axId val="2540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15984"/>
        <c:crosses val="autoZero"/>
        <c:auto val="1"/>
        <c:lblAlgn val="ctr"/>
        <c:lblOffset val="100"/>
        <c:noMultiLvlLbl val="0"/>
      </c:catAx>
      <c:valAx>
        <c:axId val="2540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[project_3_supply_chain.xlsx]Shipping cost by carrier!PivotTable3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'Shipping cost by carrier'!$B$3:$B$4</c:f>
              <c:strCache>
                <c:ptCount val="1"/>
                <c:pt idx="0">
                  <c:v>Bangalore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3C-464D-BDD1-B6B852472A7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3C-464D-BDD1-B6B852472A7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3C-464D-BDD1-B6B852472A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carrier'!$B$5:$B$8</c:f>
              <c:numCache>
                <c:formatCode>General</c:formatCode>
                <c:ptCount val="3"/>
                <c:pt idx="0">
                  <c:v>39.660559960622287</c:v>
                </c:pt>
                <c:pt idx="1">
                  <c:v>46.543915848749698</c:v>
                </c:pt>
                <c:pt idx="2">
                  <c:v>17.267540016135861</c:v>
                </c:pt>
              </c:numCache>
            </c:numRef>
          </c:val>
          <c:extLst>
            <c:ext xmlns:c16="http://schemas.microsoft.com/office/drawing/2014/chart" uri="{C3380CC4-5D6E-409C-BE32-E72D297353CC}">
              <c16:uniqueId val="{00000006-C03C-464D-BDD1-B6B852472A7E}"/>
            </c:ext>
          </c:extLst>
        </c:ser>
        <c:ser>
          <c:idx val="1"/>
          <c:order val="1"/>
          <c:tx>
            <c:strRef>
              <c:f>'Shipping cost by carrier'!$C$3:$C$4</c:f>
              <c:strCache>
                <c:ptCount val="1"/>
                <c:pt idx="0">
                  <c:v>Chennai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7CA-4BE7-86F9-9CE2BA326F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7CA-4BE7-86F9-9CE2BA326F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7CA-4BE7-86F9-9CE2BA326F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carrier'!$C$5:$C$8</c:f>
              <c:numCache>
                <c:formatCode>General</c:formatCode>
                <c:ptCount val="3"/>
                <c:pt idx="0">
                  <c:v>36.764522818110187</c:v>
                </c:pt>
                <c:pt idx="1">
                  <c:v>28.010681011937088</c:v>
                </c:pt>
                <c:pt idx="2">
                  <c:v>29.006372666009518</c:v>
                </c:pt>
              </c:numCache>
            </c:numRef>
          </c:val>
          <c:extLst>
            <c:ext xmlns:c16="http://schemas.microsoft.com/office/drawing/2014/chart" uri="{C3380CC4-5D6E-409C-BE32-E72D297353CC}">
              <c16:uniqueId val="{00000024-C03C-464D-BDD1-B6B852472A7E}"/>
            </c:ext>
          </c:extLst>
        </c:ser>
        <c:ser>
          <c:idx val="2"/>
          <c:order val="2"/>
          <c:tx>
            <c:strRef>
              <c:f>'Shipping cost by carrier'!$D$3:$D$4</c:f>
              <c:strCache>
                <c:ptCount val="1"/>
                <c:pt idx="0">
                  <c:v>Delhi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77CA-4BE7-86F9-9CE2BA326F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77CA-4BE7-86F9-9CE2BA326F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77CA-4BE7-86F9-9CE2BA326F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carrier'!$D$5:$D$8</c:f>
              <c:numCache>
                <c:formatCode>General</c:formatCode>
                <c:ptCount val="3"/>
                <c:pt idx="0">
                  <c:v>25.328867000627092</c:v>
                </c:pt>
                <c:pt idx="1">
                  <c:v>30.762733896582599</c:v>
                </c:pt>
                <c:pt idx="2">
                  <c:v>19.956614148799648</c:v>
                </c:pt>
              </c:numCache>
            </c:numRef>
          </c:val>
          <c:extLst>
            <c:ext xmlns:c16="http://schemas.microsoft.com/office/drawing/2014/chart" uri="{C3380CC4-5D6E-409C-BE32-E72D297353CC}">
              <c16:uniqueId val="{00000025-C03C-464D-BDD1-B6B852472A7E}"/>
            </c:ext>
          </c:extLst>
        </c:ser>
        <c:ser>
          <c:idx val="3"/>
          <c:order val="3"/>
          <c:tx>
            <c:strRef>
              <c:f>'Shipping cost by carrier'!$E$3:$E$4</c:f>
              <c:strCache>
                <c:ptCount val="1"/>
                <c:pt idx="0">
                  <c:v>Kolkata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77CA-4BE7-86F9-9CE2BA326F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77CA-4BE7-86F9-9CE2BA326F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77CA-4BE7-86F9-9CE2BA326F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carrier'!$E$5:$E$8</c:f>
              <c:numCache>
                <c:formatCode>General</c:formatCode>
                <c:ptCount val="3"/>
                <c:pt idx="0">
                  <c:v>27.653025437761936</c:v>
                </c:pt>
                <c:pt idx="1">
                  <c:v>66.088898135285177</c:v>
                </c:pt>
                <c:pt idx="2">
                  <c:v>50.293423284548027</c:v>
                </c:pt>
              </c:numCache>
            </c:numRef>
          </c:val>
          <c:extLst>
            <c:ext xmlns:c16="http://schemas.microsoft.com/office/drawing/2014/chart" uri="{C3380CC4-5D6E-409C-BE32-E72D297353CC}">
              <c16:uniqueId val="{00000026-C03C-464D-BDD1-B6B852472A7E}"/>
            </c:ext>
          </c:extLst>
        </c:ser>
        <c:ser>
          <c:idx val="4"/>
          <c:order val="4"/>
          <c:tx>
            <c:strRef>
              <c:f>'Shipping cost by carrier'!$F$3:$F$4</c:f>
              <c:strCache>
                <c:ptCount val="1"/>
                <c:pt idx="0">
                  <c:v>Mumbai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77CA-4BE7-86F9-9CE2BA326F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77CA-4BE7-86F9-9CE2BA326F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77CA-4BE7-86F9-9CE2BA326F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carrier'!$F$5:$F$8</c:f>
              <c:numCache>
                <c:formatCode>General</c:formatCode>
                <c:ptCount val="3"/>
                <c:pt idx="0">
                  <c:v>26.130855389113979</c:v>
                </c:pt>
                <c:pt idx="1">
                  <c:v>65.491390771380665</c:v>
                </c:pt>
                <c:pt idx="2">
                  <c:v>45.855506816294465</c:v>
                </c:pt>
              </c:numCache>
            </c:numRef>
          </c:val>
          <c:extLst>
            <c:ext xmlns:c16="http://schemas.microsoft.com/office/drawing/2014/chart" uri="{C3380CC4-5D6E-409C-BE32-E72D297353CC}">
              <c16:uniqueId val="{00000027-C03C-464D-BDD1-B6B852472A7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[project_3_supply_chain.xlsx]Order Quantity vs Lead Time!PivotTable4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Quantity vs Lead Time'!$B$3</c:f>
              <c:strCache>
                <c:ptCount val="1"/>
                <c:pt idx="0">
                  <c:v>Sum of Order quantities</c:v>
                </c:pt>
              </c:strCache>
            </c:strRef>
          </c:tx>
          <c:spPr>
            <a:solidFill>
              <a:schemeClr val="accent1"/>
            </a:solidFill>
            <a:ln>
              <a:noFill/>
            </a:ln>
            <a:effectLst/>
          </c:spPr>
          <c:invertIfNegative val="0"/>
          <c:cat>
            <c:strRef>
              <c:f>'Order Quantity vs Lead Time'!$A$4:$A$9</c:f>
              <c:strCache>
                <c:ptCount val="5"/>
                <c:pt idx="0">
                  <c:v>Supplier 1</c:v>
                </c:pt>
                <c:pt idx="1">
                  <c:v>Supplier 2</c:v>
                </c:pt>
                <c:pt idx="2">
                  <c:v>Supplier 3</c:v>
                </c:pt>
                <c:pt idx="3">
                  <c:v>Supplier 4</c:v>
                </c:pt>
                <c:pt idx="4">
                  <c:v>Supplier 5</c:v>
                </c:pt>
              </c:strCache>
            </c:strRef>
          </c:cat>
          <c:val>
            <c:numRef>
              <c:f>'Order Quantity vs Lead Time'!$B$4:$B$9</c:f>
              <c:numCache>
                <c:formatCode>General</c:formatCode>
                <c:ptCount val="5"/>
                <c:pt idx="0">
                  <c:v>1458</c:v>
                </c:pt>
                <c:pt idx="1">
                  <c:v>1022</c:v>
                </c:pt>
                <c:pt idx="2">
                  <c:v>632</c:v>
                </c:pt>
                <c:pt idx="3">
                  <c:v>842</c:v>
                </c:pt>
                <c:pt idx="4">
                  <c:v>968</c:v>
                </c:pt>
              </c:numCache>
            </c:numRef>
          </c:val>
          <c:extLst>
            <c:ext xmlns:c16="http://schemas.microsoft.com/office/drawing/2014/chart" uri="{C3380CC4-5D6E-409C-BE32-E72D297353CC}">
              <c16:uniqueId val="{00000000-0439-479A-8DCF-FD6BE057374A}"/>
            </c:ext>
          </c:extLst>
        </c:ser>
        <c:ser>
          <c:idx val="1"/>
          <c:order val="1"/>
          <c:tx>
            <c:strRef>
              <c:f>'Order Quantity vs Lead Time'!$C$3</c:f>
              <c:strCache>
                <c:ptCount val="1"/>
                <c:pt idx="0">
                  <c:v>Average of Lead times</c:v>
                </c:pt>
              </c:strCache>
            </c:strRef>
          </c:tx>
          <c:spPr>
            <a:solidFill>
              <a:schemeClr val="accent2"/>
            </a:solidFill>
            <a:ln>
              <a:noFill/>
            </a:ln>
            <a:effectLst/>
          </c:spPr>
          <c:invertIfNegative val="0"/>
          <c:cat>
            <c:strRef>
              <c:f>'Order Quantity vs Lead Time'!$A$4:$A$9</c:f>
              <c:strCache>
                <c:ptCount val="5"/>
                <c:pt idx="0">
                  <c:v>Supplier 1</c:v>
                </c:pt>
                <c:pt idx="1">
                  <c:v>Supplier 2</c:v>
                </c:pt>
                <c:pt idx="2">
                  <c:v>Supplier 3</c:v>
                </c:pt>
                <c:pt idx="3">
                  <c:v>Supplier 4</c:v>
                </c:pt>
                <c:pt idx="4">
                  <c:v>Supplier 5</c:v>
                </c:pt>
              </c:strCache>
            </c:strRef>
          </c:cat>
          <c:val>
            <c:numRef>
              <c:f>'Order Quantity vs Lead Time'!$C$4:$C$9</c:f>
              <c:numCache>
                <c:formatCode>General</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1-0439-479A-8DCF-FD6BE057374A}"/>
            </c:ext>
          </c:extLst>
        </c:ser>
        <c:dLbls>
          <c:showLegendKey val="0"/>
          <c:showVal val="0"/>
          <c:showCatName val="0"/>
          <c:showSerName val="0"/>
          <c:showPercent val="0"/>
          <c:showBubbleSize val="0"/>
        </c:dLbls>
        <c:gapWidth val="150"/>
        <c:axId val="254028944"/>
        <c:axId val="254023664"/>
      </c:barChart>
      <c:catAx>
        <c:axId val="2540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3664"/>
        <c:crosses val="autoZero"/>
        <c:auto val="1"/>
        <c:lblAlgn val="ctr"/>
        <c:lblOffset val="100"/>
        <c:noMultiLvlLbl val="0"/>
      </c:catAx>
      <c:valAx>
        <c:axId val="254023664"/>
        <c:scaling>
          <c:orientation val="minMax"/>
        </c:scaling>
        <c:delete val="0"/>
        <c:axPos val="l"/>
        <c:majorGridlines>
          <c:spPr>
            <a:ln w="9525" cap="flat" cmpd="sng" algn="ctr">
              <a:solidFill>
                <a:schemeClr val="tx1">
                  <a:lumMod val="15000"/>
                  <a:lumOff val="85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[project_3_supply_chain.xlsx]Profit by Product Type!PivotTable5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Product Type'!$B$3</c:f>
              <c:strCache>
                <c:ptCount val="1"/>
                <c:pt idx="0">
                  <c:v>Total</c:v>
                </c:pt>
              </c:strCache>
            </c:strRef>
          </c:tx>
          <c:spPr>
            <a:solidFill>
              <a:schemeClr val="accent1"/>
            </a:solidFill>
            <a:ln>
              <a:noFill/>
            </a:ln>
            <a:effectLst/>
            <a:sp3d/>
          </c:spPr>
          <c:invertIfNegative val="0"/>
          <c:cat>
            <c:strRef>
              <c:f>'Profit by Product Type'!$A$4:$A$7</c:f>
              <c:strCache>
                <c:ptCount val="3"/>
                <c:pt idx="0">
                  <c:v>cosmetics</c:v>
                </c:pt>
                <c:pt idx="1">
                  <c:v>haircare</c:v>
                </c:pt>
                <c:pt idx="2">
                  <c:v>skincare</c:v>
                </c:pt>
              </c:strCache>
            </c:strRef>
          </c:cat>
          <c:val>
            <c:numRef>
              <c:f>'Profit by Product Type'!$B$4:$B$7</c:f>
              <c:numCache>
                <c:formatCode>General</c:formatCode>
                <c:ptCount val="3"/>
                <c:pt idx="0">
                  <c:v>160244.3310839824</c:v>
                </c:pt>
                <c:pt idx="1">
                  <c:v>172606.95509456517</c:v>
                </c:pt>
                <c:pt idx="2">
                  <c:v>239472.04832811165</c:v>
                </c:pt>
              </c:numCache>
            </c:numRef>
          </c:val>
          <c:extLst>
            <c:ext xmlns:c16="http://schemas.microsoft.com/office/drawing/2014/chart" uri="{C3380CC4-5D6E-409C-BE32-E72D297353CC}">
              <c16:uniqueId val="{00000000-F7A9-4162-A6C0-2C63AA84E74A}"/>
            </c:ext>
          </c:extLst>
        </c:ser>
        <c:dLbls>
          <c:showLegendKey val="0"/>
          <c:showVal val="0"/>
          <c:showCatName val="0"/>
          <c:showSerName val="0"/>
          <c:showPercent val="0"/>
          <c:showBubbleSize val="0"/>
        </c:dLbls>
        <c:gapWidth val="150"/>
        <c:shape val="box"/>
        <c:axId val="254036624"/>
        <c:axId val="254063504"/>
        <c:axId val="0"/>
      </c:bar3DChart>
      <c:catAx>
        <c:axId val="25403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3504"/>
        <c:crosses val="autoZero"/>
        <c:auto val="1"/>
        <c:lblAlgn val="ctr"/>
        <c:lblOffset val="100"/>
        <c:noMultiLvlLbl val="0"/>
      </c:catAx>
      <c:valAx>
        <c:axId val="25406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[project_3_supply_chain.xlsx]Revenue by product type!PivotTable1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by product type'!$B$3</c:f>
              <c:strCache>
                <c:ptCount val="1"/>
                <c:pt idx="0">
                  <c:v>Total</c:v>
                </c:pt>
              </c:strCache>
            </c:strRef>
          </c:tx>
          <c:spPr>
            <a:solidFill>
              <a:schemeClr val="accent1"/>
            </a:solidFill>
            <a:ln>
              <a:noFill/>
            </a:ln>
            <a:effectLst/>
            <a:sp3d/>
          </c:spPr>
          <c:invertIfNegative val="0"/>
          <c:cat>
            <c:strRef>
              <c:f>'Revenue by product type'!$A$4:$A$7</c:f>
              <c:strCache>
                <c:ptCount val="3"/>
                <c:pt idx="0">
                  <c:v>cosmetics</c:v>
                </c:pt>
                <c:pt idx="1">
                  <c:v>haircare</c:v>
                </c:pt>
                <c:pt idx="2">
                  <c:v>skincare</c:v>
                </c:pt>
              </c:strCache>
            </c:strRef>
          </c:cat>
          <c:val>
            <c:numRef>
              <c:f>'Revenue by product type'!$B$4:$B$7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19D2-481D-8517-6C22ACB94712}"/>
            </c:ext>
          </c:extLst>
        </c:ser>
        <c:dLbls>
          <c:showLegendKey val="0"/>
          <c:showVal val="0"/>
          <c:showCatName val="0"/>
          <c:showSerName val="0"/>
          <c:showPercent val="0"/>
          <c:showBubbleSize val="0"/>
        </c:dLbls>
        <c:gapWidth val="150"/>
        <c:shape val="box"/>
        <c:axId val="254066384"/>
        <c:axId val="254066864"/>
        <c:axId val="0"/>
      </c:bar3DChart>
      <c:catAx>
        <c:axId val="25406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6864"/>
        <c:crosses val="autoZero"/>
        <c:auto val="1"/>
        <c:lblAlgn val="ctr"/>
        <c:lblOffset val="100"/>
        <c:noMultiLvlLbl val="0"/>
      </c:catAx>
      <c:valAx>
        <c:axId val="25406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[project_3_supply_chain.xlsx]Inventory anaysis!PivotTable2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anaysis'!$B$3</c:f>
              <c:strCache>
                <c:ptCount val="1"/>
                <c:pt idx="0">
                  <c:v>Total</c:v>
                </c:pt>
              </c:strCache>
            </c:strRef>
          </c:tx>
          <c:spPr>
            <a:solidFill>
              <a:schemeClr val="accent1"/>
            </a:solidFill>
            <a:ln>
              <a:noFill/>
            </a:ln>
            <a:effectLst/>
          </c:spPr>
          <c:invertIfNegative val="0"/>
          <c:cat>
            <c:strRef>
              <c:f>'Inventory anaysis'!$A$4:$A$7</c:f>
              <c:strCache>
                <c:ptCount val="3"/>
                <c:pt idx="0">
                  <c:v>cosmetics</c:v>
                </c:pt>
                <c:pt idx="1">
                  <c:v>haircare</c:v>
                </c:pt>
                <c:pt idx="2">
                  <c:v>skincare</c:v>
                </c:pt>
              </c:strCache>
            </c:strRef>
          </c:cat>
          <c:val>
            <c:numRef>
              <c:f>'Inventory anaysis'!$B$4:$B$7</c:f>
              <c:numCache>
                <c:formatCode>General</c:formatCode>
                <c:ptCount val="3"/>
                <c:pt idx="0">
                  <c:v>1525</c:v>
                </c:pt>
                <c:pt idx="1">
                  <c:v>1644</c:v>
                </c:pt>
                <c:pt idx="2">
                  <c:v>1608</c:v>
                </c:pt>
              </c:numCache>
            </c:numRef>
          </c:val>
          <c:extLst>
            <c:ext xmlns:c16="http://schemas.microsoft.com/office/drawing/2014/chart" uri="{C3380CC4-5D6E-409C-BE32-E72D297353CC}">
              <c16:uniqueId val="{00000000-836E-43EE-8D0A-F0EFA2D589E3}"/>
            </c:ext>
          </c:extLst>
        </c:ser>
        <c:dLbls>
          <c:showLegendKey val="0"/>
          <c:showVal val="0"/>
          <c:showCatName val="0"/>
          <c:showSerName val="0"/>
          <c:showPercent val="0"/>
          <c:showBubbleSize val="0"/>
        </c:dLbls>
        <c:gapWidth val="219"/>
        <c:axId val="254019824"/>
        <c:axId val="254015984"/>
      </c:barChart>
      <c:catAx>
        <c:axId val="2540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15984"/>
        <c:crosses val="autoZero"/>
        <c:auto val="1"/>
        <c:lblAlgn val="ctr"/>
        <c:lblOffset val="100"/>
        <c:noMultiLvlLbl val="0"/>
      </c:catAx>
      <c:valAx>
        <c:axId val="2540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[project_3_supply_chain.xlsx]Shipping cost by carrier!PivotTable3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'Shipping cost by carrier'!$B$3:$B$4</c:f>
              <c:strCache>
                <c:ptCount val="1"/>
                <c:pt idx="0">
                  <c:v>Bangalore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4E9-4A09-A729-10032488B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4E9-4A09-A729-10032488B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4E9-4A09-A729-10032488B0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carrier'!$B$5:$B$8</c:f>
              <c:numCache>
                <c:formatCode>General</c:formatCode>
                <c:ptCount val="3"/>
                <c:pt idx="0">
                  <c:v>39.660559960622287</c:v>
                </c:pt>
                <c:pt idx="1">
                  <c:v>46.543915848749698</c:v>
                </c:pt>
                <c:pt idx="2">
                  <c:v>17.267540016135861</c:v>
                </c:pt>
              </c:numCache>
            </c:numRef>
          </c:val>
          <c:extLst>
            <c:ext xmlns:c16="http://schemas.microsoft.com/office/drawing/2014/chart" uri="{C3380CC4-5D6E-409C-BE32-E72D297353CC}">
              <c16:uniqueId val="{00000000-57C6-4585-9718-717D2970B959}"/>
            </c:ext>
          </c:extLst>
        </c:ser>
        <c:ser>
          <c:idx val="1"/>
          <c:order val="1"/>
          <c:tx>
            <c:strRef>
              <c:f>'Shipping cost by carrier'!$C$3:$C$4</c:f>
              <c:strCache>
                <c:ptCount val="1"/>
                <c:pt idx="0">
                  <c:v>Chennai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64E9-4A09-A729-10032488B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64E9-4A09-A729-10032488B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64E9-4A09-A729-10032488B0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carrier'!$C$5:$C$8</c:f>
              <c:numCache>
                <c:formatCode>General</c:formatCode>
                <c:ptCount val="3"/>
                <c:pt idx="0">
                  <c:v>36.764522818110187</c:v>
                </c:pt>
                <c:pt idx="1">
                  <c:v>28.010681011937088</c:v>
                </c:pt>
                <c:pt idx="2">
                  <c:v>29.006372666009518</c:v>
                </c:pt>
              </c:numCache>
            </c:numRef>
          </c:val>
          <c:extLst>
            <c:ext xmlns:c16="http://schemas.microsoft.com/office/drawing/2014/chart" uri="{C3380CC4-5D6E-409C-BE32-E72D297353CC}">
              <c16:uniqueId val="{00000007-57C6-4585-9718-717D2970B959}"/>
            </c:ext>
          </c:extLst>
        </c:ser>
        <c:ser>
          <c:idx val="2"/>
          <c:order val="2"/>
          <c:tx>
            <c:strRef>
              <c:f>'Shipping cost by carrier'!$D$3:$D$4</c:f>
              <c:strCache>
                <c:ptCount val="1"/>
                <c:pt idx="0">
                  <c:v>Delhi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64E9-4A09-A729-10032488B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64E9-4A09-A729-10032488B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64E9-4A09-A729-10032488B0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carrier'!$D$5:$D$8</c:f>
              <c:numCache>
                <c:formatCode>General</c:formatCode>
                <c:ptCount val="3"/>
                <c:pt idx="0">
                  <c:v>25.328867000627092</c:v>
                </c:pt>
                <c:pt idx="1">
                  <c:v>30.762733896582599</c:v>
                </c:pt>
                <c:pt idx="2">
                  <c:v>19.956614148799648</c:v>
                </c:pt>
              </c:numCache>
            </c:numRef>
          </c:val>
          <c:extLst>
            <c:ext xmlns:c16="http://schemas.microsoft.com/office/drawing/2014/chart" uri="{C3380CC4-5D6E-409C-BE32-E72D297353CC}">
              <c16:uniqueId val="{00000008-57C6-4585-9718-717D2970B959}"/>
            </c:ext>
          </c:extLst>
        </c:ser>
        <c:ser>
          <c:idx val="3"/>
          <c:order val="3"/>
          <c:tx>
            <c:strRef>
              <c:f>'Shipping cost by carrier'!$E$3:$E$4</c:f>
              <c:strCache>
                <c:ptCount val="1"/>
                <c:pt idx="0">
                  <c:v>Kolkata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64E9-4A09-A729-10032488B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64E9-4A09-A729-10032488B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64E9-4A09-A729-10032488B0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carrier'!$E$5:$E$8</c:f>
              <c:numCache>
                <c:formatCode>General</c:formatCode>
                <c:ptCount val="3"/>
                <c:pt idx="0">
                  <c:v>27.653025437761936</c:v>
                </c:pt>
                <c:pt idx="1">
                  <c:v>66.088898135285177</c:v>
                </c:pt>
                <c:pt idx="2">
                  <c:v>50.293423284548027</c:v>
                </c:pt>
              </c:numCache>
            </c:numRef>
          </c:val>
          <c:extLst>
            <c:ext xmlns:c16="http://schemas.microsoft.com/office/drawing/2014/chart" uri="{C3380CC4-5D6E-409C-BE32-E72D297353CC}">
              <c16:uniqueId val="{00000009-57C6-4585-9718-717D2970B959}"/>
            </c:ext>
          </c:extLst>
        </c:ser>
        <c:ser>
          <c:idx val="4"/>
          <c:order val="4"/>
          <c:tx>
            <c:strRef>
              <c:f>'Shipping cost by carrier'!$F$3:$F$4</c:f>
              <c:strCache>
                <c:ptCount val="1"/>
                <c:pt idx="0">
                  <c:v>Mumbai</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64E9-4A09-A729-10032488B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64E9-4A09-A729-10032488B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64E9-4A09-A729-10032488B0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cost by carrier'!$A$5:$A$8</c:f>
              <c:strCache>
                <c:ptCount val="3"/>
                <c:pt idx="0">
                  <c:v>Carrier A</c:v>
                </c:pt>
                <c:pt idx="1">
                  <c:v>Carrier B</c:v>
                </c:pt>
                <c:pt idx="2">
                  <c:v>Carrier C</c:v>
                </c:pt>
              </c:strCache>
            </c:strRef>
          </c:cat>
          <c:val>
            <c:numRef>
              <c:f>'Shipping cost by carrier'!$F$5:$F$8</c:f>
              <c:numCache>
                <c:formatCode>General</c:formatCode>
                <c:ptCount val="3"/>
                <c:pt idx="0">
                  <c:v>26.130855389113979</c:v>
                </c:pt>
                <c:pt idx="1">
                  <c:v>65.491390771380665</c:v>
                </c:pt>
                <c:pt idx="2">
                  <c:v>45.855506816294465</c:v>
                </c:pt>
              </c:numCache>
            </c:numRef>
          </c:val>
          <c:extLst>
            <c:ext xmlns:c16="http://schemas.microsoft.com/office/drawing/2014/chart" uri="{C3380CC4-5D6E-409C-BE32-E72D297353CC}">
              <c16:uniqueId val="{0000000A-57C6-4585-9718-717D2970B959}"/>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[project_3_supply_chain.xlsx]Order Quantity vs Lead Time!PivotTable4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Quantity vs Lead Time'!$B$3</c:f>
              <c:strCache>
                <c:ptCount val="1"/>
                <c:pt idx="0">
                  <c:v>Sum of Order quantities</c:v>
                </c:pt>
              </c:strCache>
            </c:strRef>
          </c:tx>
          <c:spPr>
            <a:solidFill>
              <a:schemeClr val="accent1"/>
            </a:solidFill>
            <a:ln>
              <a:noFill/>
            </a:ln>
            <a:effectLst/>
          </c:spPr>
          <c:invertIfNegative val="0"/>
          <c:cat>
            <c:strRef>
              <c:f>'Order Quantity vs Lead Time'!$A$4:$A$9</c:f>
              <c:strCache>
                <c:ptCount val="5"/>
                <c:pt idx="0">
                  <c:v>Supplier 1</c:v>
                </c:pt>
                <c:pt idx="1">
                  <c:v>Supplier 2</c:v>
                </c:pt>
                <c:pt idx="2">
                  <c:v>Supplier 3</c:v>
                </c:pt>
                <c:pt idx="3">
                  <c:v>Supplier 4</c:v>
                </c:pt>
                <c:pt idx="4">
                  <c:v>Supplier 5</c:v>
                </c:pt>
              </c:strCache>
            </c:strRef>
          </c:cat>
          <c:val>
            <c:numRef>
              <c:f>'Order Quantity vs Lead Time'!$B$4:$B$9</c:f>
              <c:numCache>
                <c:formatCode>General</c:formatCode>
                <c:ptCount val="5"/>
                <c:pt idx="0">
                  <c:v>1458</c:v>
                </c:pt>
                <c:pt idx="1">
                  <c:v>1022</c:v>
                </c:pt>
                <c:pt idx="2">
                  <c:v>632</c:v>
                </c:pt>
                <c:pt idx="3">
                  <c:v>842</c:v>
                </c:pt>
                <c:pt idx="4">
                  <c:v>968</c:v>
                </c:pt>
              </c:numCache>
            </c:numRef>
          </c:val>
          <c:extLst>
            <c:ext xmlns:c16="http://schemas.microsoft.com/office/drawing/2014/chart" uri="{C3380CC4-5D6E-409C-BE32-E72D297353CC}">
              <c16:uniqueId val="{00000000-7825-4206-BAD4-48BF645E8575}"/>
            </c:ext>
          </c:extLst>
        </c:ser>
        <c:ser>
          <c:idx val="1"/>
          <c:order val="1"/>
          <c:tx>
            <c:strRef>
              <c:f>'Order Quantity vs Lead Time'!$C$3</c:f>
              <c:strCache>
                <c:ptCount val="1"/>
                <c:pt idx="0">
                  <c:v>Average of Lead times</c:v>
                </c:pt>
              </c:strCache>
            </c:strRef>
          </c:tx>
          <c:spPr>
            <a:solidFill>
              <a:schemeClr val="accent2"/>
            </a:solidFill>
            <a:ln>
              <a:noFill/>
            </a:ln>
            <a:effectLst/>
          </c:spPr>
          <c:invertIfNegative val="0"/>
          <c:cat>
            <c:strRef>
              <c:f>'Order Quantity vs Lead Time'!$A$4:$A$9</c:f>
              <c:strCache>
                <c:ptCount val="5"/>
                <c:pt idx="0">
                  <c:v>Supplier 1</c:v>
                </c:pt>
                <c:pt idx="1">
                  <c:v>Supplier 2</c:v>
                </c:pt>
                <c:pt idx="2">
                  <c:v>Supplier 3</c:v>
                </c:pt>
                <c:pt idx="3">
                  <c:v>Supplier 4</c:v>
                </c:pt>
                <c:pt idx="4">
                  <c:v>Supplier 5</c:v>
                </c:pt>
              </c:strCache>
            </c:strRef>
          </c:cat>
          <c:val>
            <c:numRef>
              <c:f>'Order Quantity vs Lead Time'!$C$4:$C$9</c:f>
              <c:numCache>
                <c:formatCode>General</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1-7825-4206-BAD4-48BF645E8575}"/>
            </c:ext>
          </c:extLst>
        </c:ser>
        <c:dLbls>
          <c:showLegendKey val="0"/>
          <c:showVal val="0"/>
          <c:showCatName val="0"/>
          <c:showSerName val="0"/>
          <c:showPercent val="0"/>
          <c:showBubbleSize val="0"/>
        </c:dLbls>
        <c:gapWidth val="150"/>
        <c:axId val="254028944"/>
        <c:axId val="254023664"/>
      </c:barChart>
      <c:catAx>
        <c:axId val="2540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3664"/>
        <c:crosses val="autoZero"/>
        <c:auto val="1"/>
        <c:lblAlgn val="ctr"/>
        <c:lblOffset val="100"/>
        <c:noMultiLvlLbl val="0"/>
      </c:catAx>
      <c:valAx>
        <c:axId val="254023664"/>
        <c:scaling>
          <c:orientation val="minMax"/>
        </c:scaling>
        <c:delete val="0"/>
        <c:axPos val="l"/>
        <c:majorGridlines>
          <c:spPr>
            <a:ln w="9525" cap="flat" cmpd="sng" algn="ctr">
              <a:solidFill>
                <a:schemeClr val="tx1">
                  <a:lumMod val="15000"/>
                  <a:lumOff val="85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2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[project_3_supply_chain.xlsx]Profit by Product Type!PivotTable5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Product Type'!$B$3</c:f>
              <c:strCache>
                <c:ptCount val="1"/>
                <c:pt idx="0">
                  <c:v>Total</c:v>
                </c:pt>
              </c:strCache>
            </c:strRef>
          </c:tx>
          <c:spPr>
            <a:solidFill>
              <a:schemeClr val="accent1"/>
            </a:solidFill>
            <a:ln>
              <a:noFill/>
            </a:ln>
            <a:effectLst/>
            <a:sp3d/>
          </c:spPr>
          <c:invertIfNegative val="0"/>
          <c:cat>
            <c:strRef>
              <c:f>'Profit by Product Type'!$A$4:$A$7</c:f>
              <c:strCache>
                <c:ptCount val="3"/>
                <c:pt idx="0">
                  <c:v>cosmetics</c:v>
                </c:pt>
                <c:pt idx="1">
                  <c:v>haircare</c:v>
                </c:pt>
                <c:pt idx="2">
                  <c:v>skincare</c:v>
                </c:pt>
              </c:strCache>
            </c:strRef>
          </c:cat>
          <c:val>
            <c:numRef>
              <c:f>'Profit by Product Type'!$B$4:$B$7</c:f>
              <c:numCache>
                <c:formatCode>General</c:formatCode>
                <c:ptCount val="3"/>
                <c:pt idx="0">
                  <c:v>160244.3310839824</c:v>
                </c:pt>
                <c:pt idx="1">
                  <c:v>172606.95509456517</c:v>
                </c:pt>
                <c:pt idx="2">
                  <c:v>239472.04832811165</c:v>
                </c:pt>
              </c:numCache>
            </c:numRef>
          </c:val>
          <c:extLst>
            <c:ext xmlns:c16="http://schemas.microsoft.com/office/drawing/2014/chart" uri="{C3380CC4-5D6E-409C-BE32-E72D297353CC}">
              <c16:uniqueId val="{00000000-DA80-48CC-BB73-6B8298929021}"/>
            </c:ext>
          </c:extLst>
        </c:ser>
        <c:dLbls>
          <c:showLegendKey val="0"/>
          <c:showVal val="0"/>
          <c:showCatName val="0"/>
          <c:showSerName val="0"/>
          <c:showPercent val="0"/>
          <c:showBubbleSize val="0"/>
        </c:dLbls>
        <c:gapWidth val="150"/>
        <c:shape val="box"/>
        <c:axId val="254036624"/>
        <c:axId val="254063504"/>
        <c:axId val="0"/>
      </c:bar3DChart>
      <c:catAx>
        <c:axId val="25403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63504"/>
        <c:crosses val="autoZero"/>
        <c:auto val="1"/>
        <c:lblAlgn val="ctr"/>
        <c:lblOffset val="100"/>
        <c:noMultiLvlLbl val="0"/>
      </c:catAx>
      <c:valAx>
        <c:axId val="25406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0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17030</xdr:colOff>
      <xdr:row>41</xdr:row>
      <xdr:rowOff>15031</xdr:rowOff>
    </xdr:from>
    <xdr:to>
      <xdr:col>6</xdr:col>
      <xdr:colOff>17030</xdr:colOff>
      <xdr:row>54</xdr:row>
      <xdr:rowOff>54072</xdr:rowOff>
    </xdr:to>
    <mc:AlternateContent xmlns:mc="http://schemas.openxmlformats.org/markup-compatibility/2006" xmlns:a14="http://schemas.microsoft.com/office/drawing/2010/main">
      <mc:Choice Requires="a14">
        <xdr:graphicFrame macro="">
          <xdr:nvGraphicFramePr>
            <xdr:cNvPr id="2" name="Location 1">
              <a:extLst>
                <a:ext uri="{FF2B5EF4-FFF2-40B4-BE49-F238E27FC236}">
                  <a16:creationId xmlns:a16="http://schemas.microsoft.com/office/drawing/2014/main" id="{84A9B31B-4D22-4D56-8CEF-278EED85DB5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845830" y="7568356"/>
              <a:ext cx="1828800" cy="2391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8373</xdr:colOff>
      <xdr:row>24</xdr:row>
      <xdr:rowOff>25685</xdr:rowOff>
    </xdr:from>
    <xdr:to>
      <xdr:col>6</xdr:col>
      <xdr:colOff>8373</xdr:colOff>
      <xdr:row>37</xdr:row>
      <xdr:rowOff>71193</xdr:rowOff>
    </xdr:to>
    <mc:AlternateContent xmlns:mc="http://schemas.openxmlformats.org/markup-compatibility/2006" xmlns:a14="http://schemas.microsoft.com/office/drawing/2010/main">
      <mc:Choice Requires="a14">
        <xdr:graphicFrame macro="">
          <xdr:nvGraphicFramePr>
            <xdr:cNvPr id="3" name="Supplier name 1">
              <a:extLst>
                <a:ext uri="{FF2B5EF4-FFF2-40B4-BE49-F238E27FC236}">
                  <a16:creationId xmlns:a16="http://schemas.microsoft.com/office/drawing/2014/main" id="{3B559467-B0D7-46C9-975C-5816239F1777}"/>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1837173" y="4502435"/>
              <a:ext cx="1828800" cy="239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8371</xdr:colOff>
      <xdr:row>7</xdr:row>
      <xdr:rowOff>25496</xdr:rowOff>
    </xdr:from>
    <xdr:to>
      <xdr:col>6</xdr:col>
      <xdr:colOff>8371</xdr:colOff>
      <xdr:row>20</xdr:row>
      <xdr:rowOff>71004</xdr:rowOff>
    </xdr:to>
    <mc:AlternateContent xmlns:mc="http://schemas.openxmlformats.org/markup-compatibility/2006" xmlns:a14="http://schemas.microsoft.com/office/drawing/2010/main">
      <mc:Choice Requires="a14">
        <xdr:graphicFrame macro="">
          <xdr:nvGraphicFramePr>
            <xdr:cNvPr id="4" name="Product type 1">
              <a:extLst>
                <a:ext uri="{FF2B5EF4-FFF2-40B4-BE49-F238E27FC236}">
                  <a16:creationId xmlns:a16="http://schemas.microsoft.com/office/drawing/2014/main" id="{C90DD324-9DE2-4091-B21C-4879E3E9B041}"/>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1837171" y="1425671"/>
              <a:ext cx="1828800" cy="239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16934</xdr:colOff>
      <xdr:row>7</xdr:row>
      <xdr:rowOff>16933</xdr:rowOff>
    </xdr:from>
    <xdr:to>
      <xdr:col>15</xdr:col>
      <xdr:colOff>436652</xdr:colOff>
      <xdr:row>20</xdr:row>
      <xdr:rowOff>171236</xdr:rowOff>
    </xdr:to>
    <xdr:graphicFrame macro="">
      <xdr:nvGraphicFramePr>
        <xdr:cNvPr id="5" name="Chart 4">
          <a:extLst>
            <a:ext uri="{FF2B5EF4-FFF2-40B4-BE49-F238E27FC236}">
              <a16:creationId xmlns:a16="http://schemas.microsoft.com/office/drawing/2014/main" id="{B5C233D2-7A42-4825-AD96-AA5BCEC3D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179607</xdr:colOff>
      <xdr:row>6</xdr:row>
      <xdr:rowOff>179701</xdr:rowOff>
    </xdr:from>
    <xdr:to>
      <xdr:col>23</xdr:col>
      <xdr:colOff>154112</xdr:colOff>
      <xdr:row>20</xdr:row>
      <xdr:rowOff>179797</xdr:rowOff>
    </xdr:to>
    <xdr:graphicFrame macro="">
      <xdr:nvGraphicFramePr>
        <xdr:cNvPr id="6" name="Chart 5">
          <a:extLst>
            <a:ext uri="{FF2B5EF4-FFF2-40B4-BE49-F238E27FC236}">
              <a16:creationId xmlns:a16="http://schemas.microsoft.com/office/drawing/2014/main" id="{FDF70F15-9D5E-475B-92C2-4C0FD22AD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59933</xdr:colOff>
      <xdr:row>24</xdr:row>
      <xdr:rowOff>1</xdr:rowOff>
    </xdr:from>
    <xdr:to>
      <xdr:col>15</xdr:col>
      <xdr:colOff>522269</xdr:colOff>
      <xdr:row>38</xdr:row>
      <xdr:rowOff>8563</xdr:rowOff>
    </xdr:to>
    <xdr:graphicFrame macro="">
      <xdr:nvGraphicFramePr>
        <xdr:cNvPr id="7" name="Chart 6">
          <a:extLst>
            <a:ext uri="{FF2B5EF4-FFF2-40B4-BE49-F238E27FC236}">
              <a16:creationId xmlns:a16="http://schemas.microsoft.com/office/drawing/2014/main" id="{9228F104-A6ED-45CB-BFD2-D6EE5FEC3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239731</xdr:colOff>
      <xdr:row>23</xdr:row>
      <xdr:rowOff>179797</xdr:rowOff>
    </xdr:from>
    <xdr:to>
      <xdr:col>23</xdr:col>
      <xdr:colOff>8562</xdr:colOff>
      <xdr:row>38</xdr:row>
      <xdr:rowOff>8562</xdr:rowOff>
    </xdr:to>
    <xdr:graphicFrame macro="">
      <xdr:nvGraphicFramePr>
        <xdr:cNvPr id="8" name="Chart 7">
          <a:extLst>
            <a:ext uri="{FF2B5EF4-FFF2-40B4-BE49-F238E27FC236}">
              <a16:creationId xmlns:a16="http://schemas.microsoft.com/office/drawing/2014/main" id="{14142D0D-09D7-488A-A999-81776D3E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273977</xdr:colOff>
      <xdr:row>40</xdr:row>
      <xdr:rowOff>171237</xdr:rowOff>
    </xdr:from>
    <xdr:to>
      <xdr:col>19</xdr:col>
      <xdr:colOff>590764</xdr:colOff>
      <xdr:row>54</xdr:row>
      <xdr:rowOff>1</xdr:rowOff>
    </xdr:to>
    <xdr:graphicFrame macro="">
      <xdr:nvGraphicFramePr>
        <xdr:cNvPr id="9" name="Chart 8">
          <a:extLst>
            <a:ext uri="{FF2B5EF4-FFF2-40B4-BE49-F238E27FC236}">
              <a16:creationId xmlns:a16="http://schemas.microsoft.com/office/drawing/2014/main" id="{186BB4AA-A716-45A5-BEA7-3FCE706A1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498928</xdr:colOff>
      <xdr:row>2</xdr:row>
      <xdr:rowOff>161471</xdr:rowOff>
    </xdr:from>
    <xdr:to>
      <xdr:col>10</xdr:col>
      <xdr:colOff>184452</xdr:colOff>
      <xdr:row>18</xdr:row>
      <xdr:rowOff>1814</xdr:rowOff>
    </xdr:to>
    <xdr:graphicFrame macro="">
      <xdr:nvGraphicFramePr>
        <xdr:cNvPr id="2" name="Chart 1">
          <a:extLst>
            <a:ext uri="{FF2B5EF4-FFF2-40B4-BE49-F238E27FC236}">
              <a16:creationId xmlns:a16="http://schemas.microsoft.com/office/drawing/2014/main" id="{EEE5B088-74ED-CE31-8FF9-5BD98EEB3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269118</xdr:colOff>
      <xdr:row>5</xdr:row>
      <xdr:rowOff>16328</xdr:rowOff>
    </xdr:from>
    <xdr:to>
      <xdr:col>10</xdr:col>
      <xdr:colOff>565451</xdr:colOff>
      <xdr:row>20</xdr:row>
      <xdr:rowOff>38100</xdr:rowOff>
    </xdr:to>
    <xdr:graphicFrame macro="">
      <xdr:nvGraphicFramePr>
        <xdr:cNvPr id="2" name="Chart 1">
          <a:extLst>
            <a:ext uri="{FF2B5EF4-FFF2-40B4-BE49-F238E27FC236}">
              <a16:creationId xmlns:a16="http://schemas.microsoft.com/office/drawing/2014/main" id="{F98C45F3-4190-1BBB-CC17-9A991735A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304544</xdr:colOff>
      <xdr:row>1</xdr:row>
      <xdr:rowOff>181882</xdr:rowOff>
    </xdr:from>
    <xdr:to>
      <xdr:col>14</xdr:col>
      <xdr:colOff>462897</xdr:colOff>
      <xdr:row>17</xdr:row>
      <xdr:rowOff>56971</xdr:rowOff>
    </xdr:to>
    <xdr:graphicFrame macro="">
      <xdr:nvGraphicFramePr>
        <xdr:cNvPr id="2" name="Chart 1">
          <a:extLst>
            <a:ext uri="{FF2B5EF4-FFF2-40B4-BE49-F238E27FC236}">
              <a16:creationId xmlns:a16="http://schemas.microsoft.com/office/drawing/2014/main" id="{F784378A-3757-972D-FD97-7140963AC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311452</xdr:colOff>
      <xdr:row>3</xdr:row>
      <xdr:rowOff>179614</xdr:rowOff>
    </xdr:from>
    <xdr:to>
      <xdr:col>10</xdr:col>
      <xdr:colOff>607785</xdr:colOff>
      <xdr:row>19</xdr:row>
      <xdr:rowOff>19957</xdr:rowOff>
    </xdr:to>
    <xdr:graphicFrame macro="">
      <xdr:nvGraphicFramePr>
        <xdr:cNvPr id="2" name="Chart 1">
          <a:extLst>
            <a:ext uri="{FF2B5EF4-FFF2-40B4-BE49-F238E27FC236}">
              <a16:creationId xmlns:a16="http://schemas.microsoft.com/office/drawing/2014/main" id="{D983E62A-02BC-AB71-B17C-4AA1FB360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543870</xdr:colOff>
      <xdr:row>3</xdr:row>
      <xdr:rowOff>1164</xdr:rowOff>
    </xdr:from>
    <xdr:to>
      <xdr:col>11</xdr:col>
      <xdr:colOff>229763</xdr:colOff>
      <xdr:row>18</xdr:row>
      <xdr:rowOff>39555</xdr:rowOff>
    </xdr:to>
    <xdr:graphicFrame macro="">
      <xdr:nvGraphicFramePr>
        <xdr:cNvPr id="2" name="Chart 1">
          <a:extLst>
            <a:ext uri="{FF2B5EF4-FFF2-40B4-BE49-F238E27FC236}">
              <a16:creationId xmlns:a16="http://schemas.microsoft.com/office/drawing/2014/main" id="{EE5FE172-478F-8F7A-3069-883FA5C0E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 K" refreshedDate="45968.643137384257" createdVersion="8" refreshedVersion="8" minRefreshableVersion="3" recordCount="100" xr:uid="{B379D5AD-A929-44BF-875E-3EF1DD09A5AF}">
  <cacheSource type="worksheet">
    <worksheetSource ref="A1:AC101" sheet="supply_chain_data"/>
  </cacheSource>
  <cacheFields count="29">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 name="Profit" numFmtId="0">
      <sharedItems containsSemiMixedTypes="0" containsString="0" containsNumber="1" minValue="1052.424038172893" maxValue="9847.4921290771726"/>
    </cacheField>
    <cacheField name="Average Selling Price per Unit" numFmtId="0">
      <sharedItems containsSemiMixedTypes="0" containsString="0" containsNumber="1" minValue="1.3662351140991016" maxValue="1197.2187032335912"/>
    </cacheField>
    <cacheField name="Cost per Unit" numFmtId="0">
      <sharedItems containsSemiMixedTypes="0" containsString="0" containsNumber="1" minValue="7.6829046653996164E-3" maxValue="4.8428123262520435"/>
    </cacheField>
    <cacheField name="Inventory Remaining %" numFmtId="10">
      <sharedItems containsSemiMixedTypes="0" containsString="0" containsNumber="1" minValue="0" maxValue="0.79487179487179482"/>
    </cacheField>
    <cacheField name="Defective Units" numFmtId="0">
      <sharedItems containsSemiMixedTypes="0" containsString="0" containsNumber="1" minValue="0.58309835455313686" maxValue="476.25692678775329"/>
    </cacheField>
  </cacheFields>
  <extLst>
    <ext xmlns:x14="http://schemas.microsoft.com/office/spreadsheetml/2009/9/main" uri="{725AE2AE-9491-48be-B2B4-4EB974FC3084}">
      <x14:pivotCacheDefinition pivotCacheId="2084893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s v="Non-binary"/>
    <n v="58"/>
    <n v="7"/>
    <n v="96"/>
    <n v="4"/>
    <x v="0"/>
    <n v="2.9565721394308002"/>
    <x v="0"/>
    <x v="0"/>
    <n v="29"/>
    <n v="215"/>
    <n v="29"/>
    <n v="46.279879240508301"/>
    <s v="Pending"/>
    <n v="0.226410360849925"/>
    <s v="Road"/>
    <s v="Route B"/>
    <n v="187.75207545920301"/>
    <n v="8612.7603410124411"/>
    <n v="10.800494753606458"/>
    <n v="6.1392084014886654E-2"/>
    <n v="6.7441860465116285E-2"/>
    <n v="10.478244158934437"/>
  </r>
  <r>
    <x v="1"/>
    <x v="1"/>
    <n v="14.8435232750843"/>
    <n v="95"/>
    <n v="736"/>
    <n v="7460.9000654458396"/>
    <s v="Female"/>
    <n v="53"/>
    <n v="30"/>
    <n v="37"/>
    <n v="2"/>
    <x v="1"/>
    <n v="9.7165747714313095"/>
    <x v="0"/>
    <x v="0"/>
    <n v="23"/>
    <n v="517"/>
    <n v="30"/>
    <n v="33.616768953730002"/>
    <s v="Pending"/>
    <n v="4.8540680263886999"/>
    <s v="Road"/>
    <s v="Route B"/>
    <n v="503.06557914966902"/>
    <n v="7417.5667217206783"/>
    <n v="10.137092480225325"/>
    <n v="5.8876825713534392E-2"/>
    <n v="6.7173637515842835E-2"/>
    <n v="163.1780833287971"/>
  </r>
  <r>
    <x v="0"/>
    <x v="2"/>
    <n v="11.319683293090501"/>
    <n v="34"/>
    <n v="8"/>
    <n v="9577.7496258687297"/>
    <s v="Unknown"/>
    <n v="1"/>
    <n v="10"/>
    <n v="88"/>
    <n v="2"/>
    <x v="0"/>
    <n v="8.0544792617321495"/>
    <x v="1"/>
    <x v="0"/>
    <n v="12"/>
    <n v="971"/>
    <n v="27"/>
    <n v="30.6880193482842"/>
    <s v="Pending"/>
    <n v="4.5805926191992201"/>
    <s v="Air"/>
    <s v="Route C"/>
    <n v="141.920281771519"/>
    <n v="9539.0071272587138"/>
    <n v="1197.2187032335912"/>
    <n v="4.8428123262520435"/>
    <n v="0.1111111111111111"/>
    <n v="140.56931492459347"/>
  </r>
  <r>
    <x v="1"/>
    <x v="3"/>
    <n v="61.1633430164377"/>
    <n v="68"/>
    <n v="83"/>
    <n v="7766.8364256852301"/>
    <s v="Non-binary"/>
    <n v="23"/>
    <n v="13"/>
    <n v="59"/>
    <n v="6"/>
    <x v="2"/>
    <n v="1.7295685635434199"/>
    <x v="2"/>
    <x v="1"/>
    <n v="24"/>
    <n v="937"/>
    <n v="18"/>
    <n v="35.624741397125"/>
    <s v="Fail"/>
    <n v="4.7466486206477496"/>
    <s v="Rail"/>
    <s v="Route A"/>
    <n v="254.776159219286"/>
    <n v="7729.4821157245615"/>
    <n v="93.576342478135302"/>
    <n v="0.45005192723696885"/>
    <n v="0.21698113207547171"/>
    <n v="169.09812961359617"/>
  </r>
  <r>
    <x v="1"/>
    <x v="4"/>
    <n v="4.8054960363458896"/>
    <n v="26"/>
    <n v="871"/>
    <n v="2686.50515156744"/>
    <s v="Non-binary"/>
    <n v="5"/>
    <n v="3"/>
    <n v="56"/>
    <n v="8"/>
    <x v="1"/>
    <n v="3.8905479158706702"/>
    <x v="1"/>
    <x v="2"/>
    <n v="5"/>
    <n v="414"/>
    <n v="3"/>
    <n v="92.065160598712794"/>
    <s v="Fail"/>
    <n v="3.1455795228330001"/>
    <s v="Air"/>
    <s v="Route A"/>
    <n v="923.44063171192204"/>
    <n v="2590.5494430528565"/>
    <n v="3.0843916780338003"/>
    <n v="0.11016728876530822"/>
    <n v="5.7077625570776253E-3"/>
    <n v="289.59828394564249"/>
  </r>
  <r>
    <x v="0"/>
    <x v="5"/>
    <n v="1.6999760138659299"/>
    <n v="87"/>
    <n v="147"/>
    <n v="2828.3487459757498"/>
    <s v="Non-binary"/>
    <n v="90"/>
    <n v="27"/>
    <n v="66"/>
    <n v="3"/>
    <x v="0"/>
    <n v="4.4440988643822896"/>
    <x v="3"/>
    <x v="3"/>
    <n v="10"/>
    <n v="104"/>
    <n v="17"/>
    <n v="56.766475557431797"/>
    <s v="Fail"/>
    <n v="2.7791935115711599"/>
    <s v="Road"/>
    <s v="Route A"/>
    <n v="235.461236735537"/>
    <n v="2767.1381715539355"/>
    <n v="19.240467659698979"/>
    <n v="0.41639846545451759"/>
    <n v="0.379746835443038"/>
    <n v="157.7650205439773"/>
  </r>
  <r>
    <x v="1"/>
    <x v="6"/>
    <n v="4.0783328631079403"/>
    <n v="48"/>
    <n v="65"/>
    <n v="7823.4765595317303"/>
    <s v="Male"/>
    <n v="11"/>
    <n v="15"/>
    <n v="58"/>
    <n v="8"/>
    <x v="2"/>
    <n v="3.8807633029519999"/>
    <x v="0"/>
    <x v="1"/>
    <n v="14"/>
    <n v="314"/>
    <n v="24"/>
    <n v="1.0850685695870601"/>
    <s v="Pending"/>
    <n v="1.0009106193041299"/>
    <s v="Sea"/>
    <s v="Route A"/>
    <n v="134.36909686103101"/>
    <n v="7818.5107276591916"/>
    <n v="120.3611778389497"/>
    <n v="7.6397413423677854E-2"/>
    <n v="0.14473684210526316"/>
    <n v="1.0860566539728307"/>
  </r>
  <r>
    <x v="2"/>
    <x v="7"/>
    <n v="42.958384382459997"/>
    <n v="59"/>
    <n v="426"/>
    <n v="8496.1038130898305"/>
    <s v="Female"/>
    <n v="93"/>
    <n v="17"/>
    <n v="11"/>
    <n v="1"/>
    <x v="0"/>
    <n v="2.3483387844177801"/>
    <x v="3"/>
    <x v="3"/>
    <n v="22"/>
    <n v="564"/>
    <n v="1"/>
    <n v="99.466108603599096"/>
    <s v="Fail"/>
    <n v="0.39817718685065001"/>
    <s v="Road"/>
    <s v="Route C"/>
    <n v="802.05631181755803"/>
    <n v="8394.2893657018139"/>
    <n v="19.943905664530117"/>
    <n v="0.23900105020661239"/>
    <n v="0.1791907514450867"/>
    <n v="39.605135310762321"/>
  </r>
  <r>
    <x v="2"/>
    <x v="8"/>
    <n v="68.717596748527299"/>
    <n v="78"/>
    <n v="150"/>
    <n v="7517.3632106311197"/>
    <s v="Female"/>
    <n v="5"/>
    <n v="10"/>
    <n v="15"/>
    <n v="7"/>
    <x v="2"/>
    <n v="3.4047338570830199"/>
    <x v="3"/>
    <x v="0"/>
    <n v="13"/>
    <n v="769"/>
    <n v="8"/>
    <n v="11.423027139565599"/>
    <s v="Pending"/>
    <n v="2.7098626911099601"/>
    <s v="Sea"/>
    <s v="Route B"/>
    <n v="505.55713422546398"/>
    <n v="7502.5354496344708"/>
    <n v="50.115754737540797"/>
    <n v="9.8851739977657463E-2"/>
    <n v="3.2258064516129031E-2"/>
    <n v="30.954835065045344"/>
  </r>
  <r>
    <x v="1"/>
    <x v="9"/>
    <n v="64.0157329412785"/>
    <n v="35"/>
    <n v="980"/>
    <n v="4971.1459875855498"/>
    <s v="Unknown"/>
    <n v="14"/>
    <n v="27"/>
    <n v="83"/>
    <n v="1"/>
    <x v="1"/>
    <n v="7.1666452910482104"/>
    <x v="4"/>
    <x v="4"/>
    <n v="29"/>
    <n v="963"/>
    <n v="23"/>
    <n v="47.957601634951502"/>
    <s v="Pending"/>
    <n v="3.8446144787675798"/>
    <s v="Rail"/>
    <s v="Route B"/>
    <n v="995.92946149864099"/>
    <n v="4916.0217406595502"/>
    <n v="5.0725979465158675"/>
    <n v="5.6249231557142565E-2"/>
    <n v="1.4084507042253521E-2"/>
    <n v="184.37848961270231"/>
  </r>
  <r>
    <x v="1"/>
    <x v="10"/>
    <n v="15.707795681912099"/>
    <n v="11"/>
    <n v="996"/>
    <n v="2330.9658020919401"/>
    <s v="Non-binary"/>
    <n v="51"/>
    <n v="13"/>
    <n v="80"/>
    <n v="2"/>
    <x v="2"/>
    <n v="8.6732112112786108"/>
    <x v="2"/>
    <x v="1"/>
    <n v="18"/>
    <n v="830"/>
    <n v="5"/>
    <n v="96.527352785310896"/>
    <s v="Pass"/>
    <n v="1.72731392835594"/>
    <s v="Road"/>
    <s v="Route B"/>
    <n v="806.10317770292295"/>
    <n v="2225.7652380953505"/>
    <n v="2.3403271105340764"/>
    <n v="0.10562305622147541"/>
    <n v="4.8710601719197708E-2"/>
    <n v="166.73304093339505"/>
  </r>
  <r>
    <x v="1"/>
    <x v="11"/>
    <n v="90.635459982288594"/>
    <n v="95"/>
    <n v="960"/>
    <n v="6099.9441155814502"/>
    <s v="Female"/>
    <n v="46"/>
    <n v="23"/>
    <n v="60"/>
    <n v="1"/>
    <x v="1"/>
    <n v="4.5239431243166601"/>
    <x v="4"/>
    <x v="1"/>
    <n v="28"/>
    <n v="362"/>
    <n v="11"/>
    <n v="27.5923630866636"/>
    <s v="Pending"/>
    <n v="2.1169821372994301E-2"/>
    <s v="Air"/>
    <s v="Route A"/>
    <n v="126.72303340940699"/>
    <n v="6067.8278093704703"/>
    <n v="6.3541084537306771"/>
    <n v="3.3454485636437777E-2"/>
    <n v="4.5725646123260438E-2"/>
    <n v="0.58412539780347006"/>
  </r>
  <r>
    <x v="0"/>
    <x v="12"/>
    <n v="71.213389075359999"/>
    <n v="41"/>
    <n v="336"/>
    <n v="2873.74144602144"/>
    <s v="Unknown"/>
    <n v="100"/>
    <n v="30"/>
    <n v="85"/>
    <n v="4"/>
    <x v="1"/>
    <n v="1.32527401018452"/>
    <x v="3"/>
    <x v="1"/>
    <n v="3"/>
    <n v="563"/>
    <n v="3"/>
    <n v="32.321286213424003"/>
    <s v="Fail"/>
    <n v="2.1612537475559099"/>
    <s v="Road"/>
    <s v="Route B"/>
    <n v="402.96878907376998"/>
    <n v="2840.0948857978315"/>
    <n v="8.5528019226828569"/>
    <n v="0.10013857209407299"/>
    <n v="0.22935779816513763"/>
    <n v="69.854500954589795"/>
  </r>
  <r>
    <x v="1"/>
    <x v="13"/>
    <n v="16.160393317379899"/>
    <n v="5"/>
    <n v="249"/>
    <n v="4052.7384162378598"/>
    <s v="Male"/>
    <n v="80"/>
    <n v="8"/>
    <n v="48"/>
    <n v="9"/>
    <x v="1"/>
    <n v="9.5372830611083295"/>
    <x v="2"/>
    <x v="3"/>
    <n v="23"/>
    <n v="173"/>
    <n v="10"/>
    <n v="97.829050110173199"/>
    <s v="Pending"/>
    <n v="1.63107423007153"/>
    <s v="Road"/>
    <s v="Route B"/>
    <n v="547.24100516096803"/>
    <n v="3945.3720830665784"/>
    <n v="16.276057896537591"/>
    <n v="0.43119009305735551"/>
    <n v="0.24316109422492402"/>
    <n v="159.56644258707988"/>
  </r>
  <r>
    <x v="1"/>
    <x v="14"/>
    <n v="99.171328638624104"/>
    <n v="26"/>
    <n v="562"/>
    <n v="8653.5709264697998"/>
    <s v="Non-binary"/>
    <n v="54"/>
    <n v="29"/>
    <n v="78"/>
    <n v="5"/>
    <x v="0"/>
    <n v="2.0397701894493299"/>
    <x v="1"/>
    <x v="1"/>
    <n v="25"/>
    <n v="558"/>
    <n v="14"/>
    <n v="5.7914366298629796"/>
    <s v="Pending"/>
    <n v="0.100682851565093"/>
    <s v="Air"/>
    <s v="Route B"/>
    <n v="929.23528996088896"/>
    <n v="8645.739719650488"/>
    <n v="15.39781303642313"/>
    <n v="1.3934531706961404E-2"/>
    <n v="8.7662337662337664E-2"/>
    <n v="0.58309835455313686"/>
  </r>
  <r>
    <x v="1"/>
    <x v="15"/>
    <n v="36.989244928626903"/>
    <n v="94"/>
    <n v="469"/>
    <n v="5442.0867853976697"/>
    <s v="Non-binary"/>
    <n v="9"/>
    <n v="8"/>
    <n v="69"/>
    <n v="7"/>
    <x v="0"/>
    <n v="2.4220397232752"/>
    <x v="1"/>
    <x v="3"/>
    <n v="14"/>
    <n v="580"/>
    <n v="7"/>
    <n v="97.121281751474299"/>
    <s v="Pass"/>
    <n v="2.2644057611985402"/>
    <s v="Sea"/>
    <s v="Route B"/>
    <n v="127.861800001625"/>
    <n v="5342.5434639229206"/>
    <n v="11.603596557351109"/>
    <n v="0.21224588800586247"/>
    <n v="1.8828451882845189E-2"/>
    <n v="219.92198993302506"/>
  </r>
  <r>
    <x v="1"/>
    <x v="16"/>
    <n v="7.5471721097912701"/>
    <n v="74"/>
    <n v="280"/>
    <n v="6453.7979681762799"/>
    <s v="Female"/>
    <n v="2"/>
    <n v="5"/>
    <n v="78"/>
    <n v="1"/>
    <x v="0"/>
    <n v="4.1913245857054999"/>
    <x v="1"/>
    <x v="3"/>
    <n v="3"/>
    <n v="399"/>
    <n v="21"/>
    <n v="77.106342497849994"/>
    <s v="Pass"/>
    <n v="1.01256308925804"/>
    <s v="Air"/>
    <s v="Route A"/>
    <n v="865.52577977123997"/>
    <n v="6372.5003010927248"/>
    <n v="23.049278457772427"/>
    <n v="0.29034881101269822"/>
    <n v="7.0921985815602835E-3"/>
    <n v="78.075036361011485"/>
  </r>
  <r>
    <x v="2"/>
    <x v="17"/>
    <n v="81.462534369237005"/>
    <n v="82"/>
    <n v="126"/>
    <n v="2629.39643484526"/>
    <s v="Female"/>
    <n v="45"/>
    <n v="17"/>
    <n v="85"/>
    <n v="9"/>
    <x v="2"/>
    <n v="3.5854189582323399"/>
    <x v="1"/>
    <x v="4"/>
    <n v="7"/>
    <n v="453"/>
    <n v="16"/>
    <n v="47.679680368355299"/>
    <s v="Fail"/>
    <n v="0.102020754918176"/>
    <s v="Air"/>
    <s v="Route C"/>
    <n v="670.93439079241"/>
    <n v="2578.1313355186726"/>
    <n v="20.868225673375079"/>
    <n v="0.40686586767133048"/>
    <n v="0.26315789473684209"/>
    <n v="4.8643169854369432"/>
  </r>
  <r>
    <x v="0"/>
    <x v="18"/>
    <n v="36.4436277704609"/>
    <n v="23"/>
    <n v="620"/>
    <n v="9364.6735050761708"/>
    <s v="Unknown"/>
    <n v="10"/>
    <n v="10"/>
    <n v="46"/>
    <n v="8"/>
    <x v="2"/>
    <n v="4.3392247141107001"/>
    <x v="4"/>
    <x v="1"/>
    <n v="18"/>
    <n v="374"/>
    <n v="17"/>
    <n v="27.107980854843898"/>
    <s v="Pending"/>
    <n v="2.2319391107292601"/>
    <s v="Sea"/>
    <s v="Route A"/>
    <n v="593.48025872065102"/>
    <n v="9333.226299507216"/>
    <n v="15.104312104961567"/>
    <n v="5.0721299304765481E-2"/>
    <n v="1.5873015873015872E-2"/>
    <n v="60.503362682826101"/>
  </r>
  <r>
    <x v="1"/>
    <x v="19"/>
    <n v="51.123870087964697"/>
    <n v="100"/>
    <n v="187"/>
    <n v="2553.4955849912099"/>
    <s v="Unknown"/>
    <n v="48"/>
    <n v="11"/>
    <n v="94"/>
    <n v="3"/>
    <x v="1"/>
    <n v="4.7426358828418698"/>
    <x v="3"/>
    <x v="4"/>
    <n v="20"/>
    <n v="694"/>
    <n v="16"/>
    <n v="82.373320587990193"/>
    <s v="Fail"/>
    <n v="3.64645086541702"/>
    <s v="Road"/>
    <s v="Route C"/>
    <n v="477.30763109090299"/>
    <n v="2466.379628520378"/>
    <n v="13.655056604231069"/>
    <n v="0.46586072979054577"/>
    <n v="0.20425531914893616"/>
    <n v="300.37026614535046"/>
  </r>
  <r>
    <x v="1"/>
    <x v="20"/>
    <n v="96.341072439963298"/>
    <n v="22"/>
    <n v="320"/>
    <n v="8128.0276968511898"/>
    <s v="Unknown"/>
    <n v="27"/>
    <n v="12"/>
    <n v="68"/>
    <n v="6"/>
    <x v="1"/>
    <n v="8.8783346509268402"/>
    <x v="1"/>
    <x v="4"/>
    <n v="29"/>
    <n v="309"/>
    <n v="6"/>
    <n v="65.686259608488598"/>
    <s v="Pass"/>
    <n v="4.2314165735345304"/>
    <s v="Air"/>
    <s v="Route B"/>
    <n v="493.871215316205"/>
    <n v="8053.4631025917743"/>
    <n v="25.400086552659968"/>
    <n v="0.23301435706067325"/>
    <n v="7.7809798270893377E-2"/>
    <n v="277.94592756085046"/>
  </r>
  <r>
    <x v="2"/>
    <x v="21"/>
    <n v="84.893868984950799"/>
    <n v="60"/>
    <n v="601"/>
    <n v="7087.0526963574302"/>
    <s v="Unknown"/>
    <n v="69"/>
    <n v="25"/>
    <n v="7"/>
    <n v="6"/>
    <x v="0"/>
    <n v="6.0378837692182898"/>
    <x v="2"/>
    <x v="4"/>
    <n v="19"/>
    <n v="791"/>
    <n v="4"/>
    <n v="61.735728954160898"/>
    <s v="Pending"/>
    <n v="1.8607567631014899E-2"/>
    <s v="Air"/>
    <s v="Route C"/>
    <n v="523.36091472015801"/>
    <n v="7019.2790836340509"/>
    <n v="11.792100992275259"/>
    <n v="0.11276807441494041"/>
    <n v="0.10298507462686567"/>
    <n v="1.1487517517645536"/>
  </r>
  <r>
    <x v="0"/>
    <x v="22"/>
    <n v="27.679780886501899"/>
    <n v="55"/>
    <n v="884"/>
    <n v="2390.8078665561702"/>
    <s v="Unknown"/>
    <n v="71"/>
    <n v="1"/>
    <n v="63"/>
    <n v="10"/>
    <x v="1"/>
    <n v="9.5676489209230393"/>
    <x v="3"/>
    <x v="1"/>
    <n v="22"/>
    <n v="780"/>
    <n v="28"/>
    <n v="50.120839612977299"/>
    <s v="Fail"/>
    <n v="2.5912754732111098"/>
    <s v="Rail"/>
    <s v="Route C"/>
    <n v="205.57199582694699"/>
    <n v="2331.1193780222698"/>
    <n v="2.7045337856970253"/>
    <n v="6.7520914631108986E-2"/>
    <n v="7.4345549738219899E-2"/>
    <n v="129.87690238585589"/>
  </r>
  <r>
    <x v="2"/>
    <x v="23"/>
    <n v="4.3243411858641601"/>
    <n v="30"/>
    <n v="391"/>
    <n v="8858.3675710114803"/>
    <s v="Unknown"/>
    <n v="84"/>
    <n v="5"/>
    <n v="29"/>
    <n v="7"/>
    <x v="1"/>
    <n v="2.92485760114555"/>
    <x v="2"/>
    <x v="1"/>
    <n v="11"/>
    <n v="568"/>
    <n v="29"/>
    <n v="98.6099572427038"/>
    <s v="Pending"/>
    <n v="1.3422915627227301"/>
    <s v="Rail"/>
    <s v="Route A"/>
    <n v="196.329446112412"/>
    <n v="8756.8327561676306"/>
    <n v="22.655671537113761"/>
    <n v="0.25967983336022848"/>
    <n v="0.17684210526315788"/>
    <n v="132.36331360733047"/>
  </r>
  <r>
    <x v="0"/>
    <x v="24"/>
    <n v="4.1563083593111001"/>
    <n v="32"/>
    <n v="209"/>
    <n v="9049.0778609398894"/>
    <s v="Male"/>
    <n v="4"/>
    <n v="26"/>
    <n v="2"/>
    <n v="8"/>
    <x v="2"/>
    <n v="9.7412916892843597"/>
    <x v="4"/>
    <x v="3"/>
    <n v="28"/>
    <n v="447"/>
    <n v="3"/>
    <n v="40.382359702924802"/>
    <s v="Pending"/>
    <n v="3.69131029262872"/>
    <s v="Air"/>
    <s v="Route A"/>
    <n v="758.72477260293795"/>
    <n v="8998.9542095476809"/>
    <n v="43.297023258085595"/>
    <n v="0.23982608321631177"/>
    <n v="1.8779342723004695E-2"/>
    <n v="149.06382001204159"/>
  </r>
  <r>
    <x v="0"/>
    <x v="25"/>
    <n v="39.629343985092603"/>
    <n v="73"/>
    <n v="142"/>
    <n v="2174.7770543506499"/>
    <s v="Male"/>
    <n v="82"/>
    <n v="11"/>
    <n v="52"/>
    <n v="3"/>
    <x v="2"/>
    <n v="2.2310736812817198"/>
    <x v="3"/>
    <x v="1"/>
    <n v="19"/>
    <n v="934"/>
    <n v="23"/>
    <n v="78.280383118415301"/>
    <s v="Pending"/>
    <n v="3.79723121711418"/>
    <s v="Road"/>
    <s v="Route B"/>
    <n v="458.53594573920901"/>
    <n v="2094.2655975509529"/>
    <n v="15.315331368666548"/>
    <n v="0.56698209013871137"/>
    <n v="0.36607142857142855"/>
    <n v="297.24871446490442"/>
  </r>
  <r>
    <x v="0"/>
    <x v="26"/>
    <n v="97.446946617892806"/>
    <n v="9"/>
    <n v="353"/>
    <n v="3716.49332589403"/>
    <s v="Male"/>
    <n v="59"/>
    <n v="16"/>
    <n v="48"/>
    <n v="4"/>
    <x v="0"/>
    <n v="6.5075486210785503"/>
    <x v="4"/>
    <x v="3"/>
    <n v="26"/>
    <n v="171"/>
    <n v="4"/>
    <n v="15.972229757181699"/>
    <s v="Pass"/>
    <n v="2.1193197367249201"/>
    <s v="Rail"/>
    <s v="Route A"/>
    <n v="617.86691645837698"/>
    <n v="3694.0135475157699"/>
    <n v="10.528309705082238"/>
    <n v="6.3682091723116854E-2"/>
    <n v="0.14320388349514562"/>
    <n v="33.850261763900257"/>
  </r>
  <r>
    <x v="2"/>
    <x v="27"/>
    <n v="92.557360812401996"/>
    <n v="42"/>
    <n v="352"/>
    <n v="2686.4572235759802"/>
    <s v="Unknown"/>
    <n v="47"/>
    <n v="9"/>
    <n v="62"/>
    <n v="8"/>
    <x v="2"/>
    <n v="7.4067509529980704"/>
    <x v="2"/>
    <x v="0"/>
    <n v="25"/>
    <n v="291"/>
    <n v="4"/>
    <n v="10.5282450700421"/>
    <s v="Fail"/>
    <n v="2.8646678378833701"/>
    <s v="Sea"/>
    <s v="Route B"/>
    <n v="762.45918215568304"/>
    <n v="2668.52222755294"/>
    <n v="7.6319807487953986"/>
    <n v="5.0951693247273215E-2"/>
    <n v="0.11779448621553884"/>
    <n v="30.159925041503755"/>
  </r>
  <r>
    <x v="2"/>
    <x v="28"/>
    <n v="2.3972747055971402"/>
    <n v="12"/>
    <n v="394"/>
    <n v="6117.3246150839896"/>
    <s v="Female"/>
    <n v="48"/>
    <n v="15"/>
    <n v="24"/>
    <n v="4"/>
    <x v="0"/>
    <n v="9.8981405080692202"/>
    <x v="1"/>
    <x v="0"/>
    <n v="13"/>
    <n v="171"/>
    <n v="7"/>
    <n v="59.429381810691503"/>
    <s v="Fail"/>
    <n v="0.81575707929567198"/>
    <s v="Air"/>
    <s v="Route A"/>
    <n v="123.437027511827"/>
    <n v="6047.9970927652284"/>
    <n v="15.526204606812156"/>
    <n v="0.17595817847401199"/>
    <n v="0.10859728506787331"/>
    <n v="48.479938930237033"/>
  </r>
  <r>
    <x v="2"/>
    <x v="29"/>
    <n v="63.447559185207297"/>
    <n v="3"/>
    <n v="253"/>
    <n v="8318.9031946171708"/>
    <s v="Female"/>
    <n v="45"/>
    <n v="5"/>
    <n v="67"/>
    <n v="7"/>
    <x v="0"/>
    <n v="8.1009731453970293"/>
    <x v="1"/>
    <x v="1"/>
    <n v="16"/>
    <n v="329"/>
    <n v="7"/>
    <n v="39.292875586065698"/>
    <s v="Pass"/>
    <n v="3.8780989365884802"/>
    <s v="Road"/>
    <s v="Route B"/>
    <n v="764.93537594070801"/>
    <n v="8271.5093458857082"/>
    <n v="32.881040294929527"/>
    <n v="0.1873274653417499"/>
    <n v="0.15100671140939598"/>
    <n v="152.38165902582483"/>
  </r>
  <r>
    <x v="0"/>
    <x v="30"/>
    <n v="8.0228592105263896"/>
    <n v="10"/>
    <n v="327"/>
    <n v="2766.3423668660798"/>
    <s v="Male"/>
    <n v="60"/>
    <n v="26"/>
    <n v="35"/>
    <n v="7"/>
    <x v="0"/>
    <n v="8.9545283153180097"/>
    <x v="3"/>
    <x v="1"/>
    <n v="27"/>
    <n v="806"/>
    <n v="30"/>
    <n v="51.634893400109299"/>
    <s v="Pending"/>
    <n v="0.96539470535239302"/>
    <s v="Road"/>
    <s v="Route C"/>
    <n v="880.08098824716103"/>
    <n v="2705.7529451506525"/>
    <n v="8.4597625898045248"/>
    <n v="0.1852887514233251"/>
    <n v="0.15503875968992248"/>
    <n v="49.848052699900741"/>
  </r>
  <r>
    <x v="1"/>
    <x v="31"/>
    <n v="50.847393051718697"/>
    <n v="28"/>
    <n v="168"/>
    <n v="9655.1351027193905"/>
    <s v="Male"/>
    <n v="6"/>
    <n v="17"/>
    <n v="44"/>
    <n v="4"/>
    <x v="0"/>
    <n v="2.6796609649813998"/>
    <x v="0"/>
    <x v="4"/>
    <n v="24"/>
    <n v="461"/>
    <n v="8"/>
    <n v="60.251145661598002"/>
    <s v="Pending"/>
    <n v="2.9890000066550702"/>
    <s v="Rail"/>
    <s v="Route C"/>
    <n v="609.379206618426"/>
    <n v="9592.2042960928102"/>
    <n v="57.471042278091609"/>
    <n v="0.37458813468202024"/>
    <n v="3.4482758620689655E-2"/>
    <n v="180.09067478349203"/>
  </r>
  <r>
    <x v="1"/>
    <x v="32"/>
    <n v="79.209936015656695"/>
    <n v="43"/>
    <n v="781"/>
    <n v="9571.5504873278096"/>
    <s v="Unknown"/>
    <n v="89"/>
    <n v="13"/>
    <n v="64"/>
    <n v="4"/>
    <x v="2"/>
    <n v="6.5991049012385803"/>
    <x v="0"/>
    <x v="1"/>
    <n v="30"/>
    <n v="737"/>
    <n v="7"/>
    <n v="29.6924671537497"/>
    <s v="Pass"/>
    <n v="1.94603611938611"/>
    <s v="Road"/>
    <s v="Route A"/>
    <n v="761.17390951487698"/>
    <n v="9535.2589152728215"/>
    <n v="12.255506385823059"/>
    <n v="4.6468082016630316E-2"/>
    <n v="0.10229885057471265"/>
    <n v="57.782613554882602"/>
  </r>
  <r>
    <x v="2"/>
    <x v="33"/>
    <n v="64.795435000155607"/>
    <n v="63"/>
    <n v="616"/>
    <n v="5149.9983504080301"/>
    <s v="Non-binary"/>
    <n v="4"/>
    <n v="17"/>
    <n v="95"/>
    <n v="9"/>
    <x v="2"/>
    <n v="4.85827050343664"/>
    <x v="2"/>
    <x v="4"/>
    <n v="1"/>
    <n v="251"/>
    <n v="23"/>
    <n v="23.853427512896101"/>
    <s v="Fail"/>
    <n v="3.54104601225092"/>
    <s v="Sea"/>
    <s v="Route A"/>
    <n v="371.25529551987103"/>
    <n v="5121.2866523916973"/>
    <n v="8.3603869324805675"/>
    <n v="4.660989937716354E-2"/>
    <n v="6.4516129032258064E-3"/>
    <n v="84.466084373057114"/>
  </r>
  <r>
    <x v="1"/>
    <x v="34"/>
    <n v="37.467592329842397"/>
    <n v="96"/>
    <n v="602"/>
    <n v="9061.7108955077201"/>
    <s v="Unknown"/>
    <n v="1"/>
    <n v="26"/>
    <n v="21"/>
    <n v="7"/>
    <x v="1"/>
    <n v="1.0194875708221101"/>
    <x v="1"/>
    <x v="4"/>
    <n v="4"/>
    <n v="452"/>
    <n v="10"/>
    <n v="10.754272815029299"/>
    <s v="Pass"/>
    <n v="0.64660455937205397"/>
    <s v="Road"/>
    <s v="Route B"/>
    <n v="510.35800043352299"/>
    <n v="9049.9371351218688"/>
    <n v="15.052675906159003"/>
    <n v="1.9557741504736558E-2"/>
    <n v="1.658374792703151E-3"/>
    <n v="6.953761834928879"/>
  </r>
  <r>
    <x v="2"/>
    <x v="35"/>
    <n v="84.957786816350406"/>
    <n v="11"/>
    <n v="449"/>
    <n v="6541.3293448024597"/>
    <s v="Female"/>
    <n v="42"/>
    <n v="27"/>
    <n v="85"/>
    <n v="8"/>
    <x v="2"/>
    <n v="5.2881899903273997"/>
    <x v="1"/>
    <x v="2"/>
    <n v="3"/>
    <n v="367"/>
    <n v="2"/>
    <n v="58.004787044743701"/>
    <s v="Pass"/>
    <n v="0.54115409806058101"/>
    <s v="Sea"/>
    <s v="Route C"/>
    <n v="553.42047123035502"/>
    <n v="6478.0363677673886"/>
    <n v="14.568662237867393"/>
    <n v="0.14096431410928975"/>
    <n v="8.5539714867617106E-2"/>
    <n v="31.389528216394353"/>
  </r>
  <r>
    <x v="1"/>
    <x v="36"/>
    <n v="9.81300257875405"/>
    <n v="34"/>
    <n v="963"/>
    <n v="7573.4024578487297"/>
    <s v="Female"/>
    <n v="18"/>
    <n v="23"/>
    <n v="28"/>
    <n v="3"/>
    <x v="0"/>
    <n v="2.1079512671590801"/>
    <x v="4"/>
    <x v="2"/>
    <n v="26"/>
    <n v="671"/>
    <n v="19"/>
    <n v="45.531364237162101"/>
    <s v="Fail"/>
    <n v="3.8055333792433501"/>
    <s v="Air"/>
    <s v="Route C"/>
    <n v="403.80897424817999"/>
    <n v="7525.7631423444082"/>
    <n v="7.8643846914317024"/>
    <n v="4.9469694189326251E-2"/>
    <n v="1.834862385321101E-2"/>
    <n v="173.2711264070073"/>
  </r>
  <r>
    <x v="1"/>
    <x v="37"/>
    <n v="23.3998447526143"/>
    <n v="5"/>
    <n v="963"/>
    <n v="2438.3399304700201"/>
    <s v="Female"/>
    <n v="25"/>
    <n v="8"/>
    <n v="21"/>
    <n v="9"/>
    <x v="1"/>
    <n v="1.53265527359043"/>
    <x v="0"/>
    <x v="1"/>
    <n v="24"/>
    <n v="867"/>
    <n v="15"/>
    <n v="34.343277465075303"/>
    <s v="Pending"/>
    <n v="2.61028808484811"/>
    <s v="Sea"/>
    <s v="Route A"/>
    <n v="183.932968043594"/>
    <n v="2402.4639977313545"/>
    <n v="2.5320248499169473"/>
    <n v="3.7254343446174176E-2"/>
    <n v="2.5303643724696356E-2"/>
    <n v="89.645847961718673"/>
  </r>
  <r>
    <x v="2"/>
    <x v="38"/>
    <n v="52.075930682707799"/>
    <n v="75"/>
    <n v="705"/>
    <n v="9692.3180402184298"/>
    <s v="Non-binary"/>
    <n v="69"/>
    <n v="1"/>
    <n v="88"/>
    <n v="5"/>
    <x v="0"/>
    <n v="9.2359314372492207"/>
    <x v="2"/>
    <x v="0"/>
    <n v="10"/>
    <n v="841"/>
    <n v="12"/>
    <n v="5.9306936455283097"/>
    <s v="Pending"/>
    <n v="0.613326899164507"/>
    <s v="Air"/>
    <s v="Route B"/>
    <n v="339.67286994860598"/>
    <n v="9677.1514151356514"/>
    <n v="13.74796885137366"/>
    <n v="2.1512943379826285E-2"/>
    <n v="8.9147286821705432E-2"/>
    <n v="3.6374539435065238"/>
  </r>
  <r>
    <x v="1"/>
    <x v="39"/>
    <n v="19.127477265823199"/>
    <n v="26"/>
    <n v="176"/>
    <n v="1912.4656631007599"/>
    <s v="Female"/>
    <n v="78"/>
    <n v="29"/>
    <n v="34"/>
    <n v="3"/>
    <x v="1"/>
    <n v="5.5625037788303802"/>
    <x v="4"/>
    <x v="1"/>
    <n v="30"/>
    <n v="791"/>
    <n v="6"/>
    <n v="9.0058074287816403"/>
    <s v="Fail"/>
    <n v="1.4519722039968099"/>
    <s v="Air"/>
    <s v="Route B"/>
    <n v="653.67299455203295"/>
    <n v="1897.897351893148"/>
    <n v="10.866282176708863"/>
    <n v="8.2774495497795572E-2"/>
    <n v="0.30708661417322836"/>
    <n v="13.076182061138923"/>
  </r>
  <r>
    <x v="1"/>
    <x v="40"/>
    <n v="80.541424170940303"/>
    <n v="97"/>
    <n v="933"/>
    <n v="5724.9593504562599"/>
    <s v="Female"/>
    <n v="90"/>
    <n v="20"/>
    <n v="39"/>
    <n v="8"/>
    <x v="2"/>
    <n v="7.2295951397364702"/>
    <x v="1"/>
    <x v="1"/>
    <n v="18"/>
    <n v="793"/>
    <n v="1"/>
    <n v="88.179407104217404"/>
    <s v="Pending"/>
    <n v="4.2132694305865597"/>
    <s v="Road"/>
    <s v="Route A"/>
    <n v="529.80872398069096"/>
    <n v="5629.5503482123058"/>
    <n v="6.1360764742296459"/>
    <n v="0.10226045256586697"/>
    <n v="8.797653958944282E-2"/>
    <n v="371.5236003594465"/>
  </r>
  <r>
    <x v="1"/>
    <x v="41"/>
    <n v="99.113291615317095"/>
    <n v="35"/>
    <n v="556"/>
    <n v="5521.2052590109697"/>
    <s v="Female"/>
    <n v="64"/>
    <n v="19"/>
    <n v="38"/>
    <n v="8"/>
    <x v="0"/>
    <n v="5.7732637437666501"/>
    <x v="3"/>
    <x v="4"/>
    <n v="18"/>
    <n v="892"/>
    <n v="7"/>
    <n v="95.332064548772493"/>
    <s v="Fail"/>
    <n v="4.5302262398259602E-2"/>
    <s v="Sea"/>
    <s v="Route A"/>
    <n v="275.52437113130901"/>
    <n v="5420.0999307184302"/>
    <n v="9.9302252859909519"/>
    <n v="0.18184411563406319"/>
    <n v="0.1032258064516129"/>
    <n v="4.318758203156313"/>
  </r>
  <r>
    <x v="1"/>
    <x v="42"/>
    <n v="46.529167614516702"/>
    <n v="98"/>
    <n v="155"/>
    <n v="1839.60942585676"/>
    <s v="Female"/>
    <n v="22"/>
    <n v="27"/>
    <n v="57"/>
    <n v="4"/>
    <x v="2"/>
    <n v="7.5262483268515004"/>
    <x v="2"/>
    <x v="3"/>
    <n v="26"/>
    <n v="179"/>
    <n v="7"/>
    <n v="96.422820639571796"/>
    <s v="Fail"/>
    <n v="4.9392552886209398"/>
    <s v="Road"/>
    <s v="Route A"/>
    <n v="635.65712050199102"/>
    <n v="1735.6603568903367"/>
    <n v="11.868447908753291"/>
    <n v="0.67063915462208579"/>
    <n v="0.12429378531073447"/>
    <n v="476.25692678775329"/>
  </r>
  <r>
    <x v="0"/>
    <x v="43"/>
    <n v="11.7432717763092"/>
    <n v="6"/>
    <n v="598"/>
    <n v="5737.4255991190203"/>
    <s v="Unknown"/>
    <n v="36"/>
    <n v="29"/>
    <n v="85"/>
    <n v="9"/>
    <x v="0"/>
    <n v="3.6940212683884499"/>
    <x v="2"/>
    <x v="0"/>
    <n v="1"/>
    <n v="206"/>
    <n v="23"/>
    <n v="26.2773659573324"/>
    <s v="Pending"/>
    <n v="0.37230476798509698"/>
    <s v="Air"/>
    <s v="Route A"/>
    <n v="716.04411975933999"/>
    <n v="5707.4542118932995"/>
    <n v="9.5943571891622419"/>
    <n v="5.0119376631640219E-2"/>
    <n v="5.6782334384858045E-2"/>
    <n v="9.7831886360041249"/>
  </r>
  <r>
    <x v="2"/>
    <x v="44"/>
    <n v="51.355790913110297"/>
    <n v="34"/>
    <n v="919"/>
    <n v="7152.28604943551"/>
    <s v="Female"/>
    <n v="13"/>
    <n v="19"/>
    <n v="72"/>
    <n v="6"/>
    <x v="2"/>
    <n v="7.5774496573766896"/>
    <x v="4"/>
    <x v="2"/>
    <n v="7"/>
    <n v="834"/>
    <n v="18"/>
    <n v="22.554106620887701"/>
    <s v="Fail"/>
    <n v="2.9626263204548802"/>
    <s v="Rail"/>
    <s v="Route A"/>
    <n v="610.45326961922694"/>
    <n v="7122.1544931572453"/>
    <n v="7.7826834052617082"/>
    <n v="3.278733000899281E-2"/>
    <n v="1.3948497854077254E-2"/>
    <n v="66.819389909387581"/>
  </r>
  <r>
    <x v="0"/>
    <x v="45"/>
    <n v="33.784138033065503"/>
    <n v="1"/>
    <n v="24"/>
    <n v="5267.9568075105199"/>
    <s v="Male"/>
    <n v="93"/>
    <n v="7"/>
    <n v="52"/>
    <n v="6"/>
    <x v="0"/>
    <n v="5.2151550087119096"/>
    <x v="4"/>
    <x v="4"/>
    <n v="25"/>
    <n v="794"/>
    <n v="25"/>
    <n v="66.312544439991598"/>
    <s v="Pass"/>
    <n v="3.2196046120841002"/>
    <s v="Rail"/>
    <s v="Route A"/>
    <n v="495.30569702847299"/>
    <n v="5196.4291080618168"/>
    <n v="219.49820031293834"/>
    <n v="2.9803208103626457"/>
    <n v="0.79487179487179482"/>
    <n v="213.50017391802879"/>
  </r>
  <r>
    <x v="0"/>
    <x v="46"/>
    <n v="27.082207199888899"/>
    <n v="75"/>
    <n v="859"/>
    <n v="2556.7673606335902"/>
    <s v="Non-binary"/>
    <n v="92"/>
    <n v="29"/>
    <n v="6"/>
    <n v="8"/>
    <x v="0"/>
    <n v="4.0709558370840799"/>
    <x v="0"/>
    <x v="4"/>
    <n v="18"/>
    <n v="870"/>
    <n v="23"/>
    <n v="77.322353211051606"/>
    <s v="Pending"/>
    <n v="3.6486105925361998"/>
    <s v="Road"/>
    <s v="Route B"/>
    <n v="380.43593711196399"/>
    <n v="2475.3740515854547"/>
    <n v="2.9764462871171014"/>
    <n v="9.4753561173615469E-2"/>
    <n v="9.6740273396424811E-2"/>
    <n v="282.11915696566831"/>
  </r>
  <r>
    <x v="1"/>
    <x v="47"/>
    <n v="95.712135880936003"/>
    <n v="93"/>
    <n v="910"/>
    <n v="7089.4742499341801"/>
    <s v="Male"/>
    <n v="4"/>
    <n v="15"/>
    <n v="51"/>
    <n v="9"/>
    <x v="0"/>
    <n v="8.9787507559499709"/>
    <x v="1"/>
    <x v="1"/>
    <n v="10"/>
    <n v="964"/>
    <n v="20"/>
    <n v="19.7129929112936"/>
    <s v="Pending"/>
    <n v="0.38057358671321301"/>
    <s v="Rail"/>
    <s v="Route A"/>
    <n v="581.60235505058597"/>
    <n v="7060.7825062669363"/>
    <n v="7.7906310438837147"/>
    <n v="3.1529388645322606E-2"/>
    <n v="4.3763676148796497E-3"/>
    <n v="7.5022444171031486"/>
  </r>
  <r>
    <x v="0"/>
    <x v="48"/>
    <n v="76.035544426891704"/>
    <n v="28"/>
    <n v="29"/>
    <n v="7397.0710045871801"/>
    <s v="Non-binary"/>
    <n v="30"/>
    <n v="16"/>
    <n v="9"/>
    <n v="3"/>
    <x v="2"/>
    <n v="7.0958331565551296"/>
    <x v="4"/>
    <x v="0"/>
    <n v="9"/>
    <n v="109"/>
    <n v="18"/>
    <n v="23.126363582464698"/>
    <s v="Fail"/>
    <n v="1.6981125407144"/>
    <s v="Rail"/>
    <s v="Route B"/>
    <n v="768.65191395437"/>
    <n v="7366.8488078481605"/>
    <n v="255.07141395128207"/>
    <n v="1.0421447151386147"/>
    <n v="0.50847457627118642"/>
    <n v="39.271168020504099"/>
  </r>
  <r>
    <x v="2"/>
    <x v="49"/>
    <n v="78.897913205639995"/>
    <n v="19"/>
    <n v="99"/>
    <n v="8001.6132065190004"/>
    <s v="Unknown"/>
    <n v="97"/>
    <n v="24"/>
    <n v="9"/>
    <n v="6"/>
    <x v="2"/>
    <n v="2.5056210329009101"/>
    <x v="2"/>
    <x v="2"/>
    <n v="28"/>
    <n v="177"/>
    <n v="28"/>
    <n v="14.1478154439792"/>
    <s v="Pass"/>
    <n v="2.8258139854001301"/>
    <s v="Rail"/>
    <s v="Route A"/>
    <n v="336.89016851997701"/>
    <n v="7984.95977004212"/>
    <n v="80.824375823424248"/>
    <n v="0.16821653006949605"/>
    <n v="0.49489795918367346"/>
    <n v="39.979094744456376"/>
  </r>
  <r>
    <x v="2"/>
    <x v="50"/>
    <n v="14.203484264803"/>
    <n v="91"/>
    <n v="633"/>
    <n v="5910.8853896688897"/>
    <s v="Female"/>
    <n v="31"/>
    <n v="23"/>
    <n v="82"/>
    <n v="10"/>
    <x v="1"/>
    <n v="6.2478609149759903"/>
    <x v="4"/>
    <x v="2"/>
    <n v="20"/>
    <n v="306"/>
    <n v="21"/>
    <n v="45.178757924634503"/>
    <s v="Fail"/>
    <n v="4.7548008046711798"/>
    <s v="Rail"/>
    <s v="Route B"/>
    <n v="496.24865029194001"/>
    <n v="5859.4587708292793"/>
    <n v="9.3378916108513259"/>
    <n v="8.1242683790853851E-2"/>
    <n v="4.6686746987951805E-2"/>
    <n v="214.81599453409657"/>
  </r>
  <r>
    <x v="0"/>
    <x v="51"/>
    <n v="26.700760972461701"/>
    <n v="61"/>
    <n v="154"/>
    <n v="9866.4654579796897"/>
    <s v="Male"/>
    <n v="100"/>
    <n v="4"/>
    <n v="52"/>
    <n v="1"/>
    <x v="1"/>
    <n v="4.78300055794766"/>
    <x v="2"/>
    <x v="3"/>
    <n v="18"/>
    <n v="673"/>
    <n v="28"/>
    <n v="14.190328344569901"/>
    <s v="Pending"/>
    <n v="1.77295117208355"/>
    <s v="Road"/>
    <s v="Route A"/>
    <n v="694.98231757944495"/>
    <n v="9847.4921290771726"/>
    <n v="64.067957519348639"/>
    <n v="0.12320343443193221"/>
    <n v="0.39370078740157483"/>
    <n v="25.158759270755628"/>
  </r>
  <r>
    <x v="1"/>
    <x v="52"/>
    <n v="98.031829656465007"/>
    <n v="1"/>
    <n v="820"/>
    <n v="9435.7626089121295"/>
    <s v="Male"/>
    <n v="64"/>
    <n v="11"/>
    <n v="11"/>
    <n v="1"/>
    <x v="0"/>
    <n v="8.6310521797689397"/>
    <x v="1"/>
    <x v="0"/>
    <n v="10"/>
    <n v="727"/>
    <n v="27"/>
    <n v="9.1668491485971497"/>
    <s v="Pending"/>
    <n v="2.1224716191438202"/>
    <s v="Air"/>
    <s v="Route C"/>
    <n v="602.89849883838303"/>
    <n v="9417.9647075837638"/>
    <n v="11.507027571844061"/>
    <n v="2.1704757717519618E-2"/>
    <n v="7.2398190045248875E-2"/>
    <n v="19.456377154870143"/>
  </r>
  <r>
    <x v="1"/>
    <x v="53"/>
    <n v="30.3414707112142"/>
    <n v="93"/>
    <n v="242"/>
    <n v="8232.3348294258194"/>
    <s v="Male"/>
    <n v="96"/>
    <n v="25"/>
    <n v="54"/>
    <n v="3"/>
    <x v="0"/>
    <n v="1.0134865660958901"/>
    <x v="1"/>
    <x v="2"/>
    <n v="1"/>
    <n v="631"/>
    <n v="17"/>
    <n v="83.344058991677898"/>
    <s v="Pending"/>
    <n v="1.41034757607602"/>
    <s v="Air"/>
    <s v="Route B"/>
    <n v="750.73784066827"/>
    <n v="8147.9772838680456"/>
    <n v="34.017912518288512"/>
    <n v="0.34858489899906525"/>
    <n v="0.28402366863905326"/>
    <n v="117.54409157924974"/>
  </r>
  <r>
    <x v="0"/>
    <x v="54"/>
    <n v="31.1462431602408"/>
    <n v="11"/>
    <n v="622"/>
    <n v="6088.0214799408504"/>
    <s v="Non-binary"/>
    <n v="33"/>
    <n v="22"/>
    <n v="61"/>
    <n v="3"/>
    <x v="0"/>
    <n v="4.3051034712876302"/>
    <x v="1"/>
    <x v="1"/>
    <n v="26"/>
    <n v="497"/>
    <n v="29"/>
    <n v="30.186023375822501"/>
    <s v="Pass"/>
    <n v="2.4787719755397402"/>
    <s v="Road"/>
    <s v="Route B"/>
    <n v="814.06999658218695"/>
    <n v="6053.5303530937399"/>
    <n v="9.7878158841492766"/>
    <n v="5.5451972423006639E-2"/>
    <n v="5.0381679389312976E-2"/>
    <n v="74.824268796976313"/>
  </r>
  <r>
    <x v="0"/>
    <x v="55"/>
    <n v="79.855058340789398"/>
    <n v="16"/>
    <n v="701"/>
    <n v="2925.6751703038099"/>
    <s v="Male"/>
    <n v="97"/>
    <n v="11"/>
    <n v="11"/>
    <n v="5"/>
    <x v="1"/>
    <n v="5.0143649550309002"/>
    <x v="4"/>
    <x v="2"/>
    <n v="27"/>
    <n v="918"/>
    <n v="5"/>
    <n v="30.323545256616502"/>
    <s v="Fail"/>
    <n v="4.5489196593963799"/>
    <s v="Sea"/>
    <s v="Route B"/>
    <n v="323.01292795247798"/>
    <n v="2890.3372600921625"/>
    <n v="4.1735737094205563"/>
    <n v="5.0410713568683888E-2"/>
    <n v="0.12155388471177944"/>
    <n v="137.93937116041866"/>
  </r>
  <r>
    <x v="1"/>
    <x v="56"/>
    <n v="20.9863860370433"/>
    <n v="90"/>
    <n v="93"/>
    <n v="4767.0204843441297"/>
    <s v="Non-binary"/>
    <n v="25"/>
    <n v="23"/>
    <n v="83"/>
    <n v="5"/>
    <x v="2"/>
    <n v="1.77442971407173"/>
    <x v="1"/>
    <x v="0"/>
    <n v="24"/>
    <n v="826"/>
    <n v="28"/>
    <n v="12.8362845728327"/>
    <s v="Pass"/>
    <n v="1.1737554953874501"/>
    <s v="Air"/>
    <s v="Route B"/>
    <n v="832.210808706021"/>
    <n v="4752.4097700572256"/>
    <n v="51.25828477789387"/>
    <n v="0.15710445469789708"/>
    <n v="0.21186440677966101"/>
    <n v="15.066659557719529"/>
  </r>
  <r>
    <x v="0"/>
    <x v="57"/>
    <n v="49.263205350734097"/>
    <n v="65"/>
    <n v="227"/>
    <n v="1605.8669003924001"/>
    <s v="Unknown"/>
    <n v="5"/>
    <n v="18"/>
    <n v="51"/>
    <n v="1"/>
    <x v="0"/>
    <n v="9.1605585353818704"/>
    <x v="4"/>
    <x v="2"/>
    <n v="21"/>
    <n v="588"/>
    <n v="25"/>
    <n v="67.779622987078099"/>
    <s v="Pending"/>
    <n v="2.5111748302126999"/>
    <s v="Rail"/>
    <s v="Route A"/>
    <n v="482.19123860252802"/>
    <n v="1528.92671886994"/>
    <n v="7.0743035259577098"/>
    <n v="0.33894353093594698"/>
    <n v="2.1551724137931036E-2"/>
    <n v="170.20648324645666"/>
  </r>
  <r>
    <x v="1"/>
    <x v="58"/>
    <n v="59.841561377289302"/>
    <n v="81"/>
    <n v="896"/>
    <n v="2021.1498103371"/>
    <s v="Non-binary"/>
    <n v="10"/>
    <n v="5"/>
    <n v="44"/>
    <n v="7"/>
    <x v="1"/>
    <n v="4.9384385647120901"/>
    <x v="0"/>
    <x v="2"/>
    <n v="18"/>
    <n v="396"/>
    <n v="7"/>
    <n v="65.047415094691402"/>
    <s v="Fail"/>
    <n v="1.7303747198591899"/>
    <s v="Road"/>
    <s v="Route B"/>
    <n v="110.364335231364"/>
    <n v="1951.1639566776964"/>
    <n v="2.2557475561797991"/>
    <n v="7.8109211673441398E-2"/>
    <n v="1.1037527593818985E-2"/>
    <n v="112.55640267204107"/>
  </r>
  <r>
    <x v="2"/>
    <x v="59"/>
    <n v="63.828398347710902"/>
    <n v="30"/>
    <n v="484"/>
    <n v="1061.6185230132801"/>
    <s v="Non-binary"/>
    <n v="100"/>
    <n v="16"/>
    <n v="26"/>
    <n v="7"/>
    <x v="0"/>
    <n v="7.2937225968677204"/>
    <x v="1"/>
    <x v="1"/>
    <n v="11"/>
    <n v="176"/>
    <n v="4"/>
    <n v="1.90076224351945"/>
    <s v="Fail"/>
    <n v="0.44719401546382298"/>
    <s v="Air"/>
    <s v="Route A"/>
    <n v="312.57427361009297"/>
    <n v="1052.424038172893"/>
    <n v="2.1934267004406611"/>
    <n v="1.8996869504932172E-2"/>
    <n v="0.17123287671232876"/>
    <n v="0.85000950012148779"/>
  </r>
  <r>
    <x v="1"/>
    <x v="60"/>
    <n v="17.028027920188698"/>
    <n v="16"/>
    <n v="380"/>
    <n v="8864.0843495864301"/>
    <s v="Female"/>
    <n v="41"/>
    <n v="27"/>
    <n v="72"/>
    <n v="8"/>
    <x v="2"/>
    <n v="4.3813681581023101"/>
    <x v="3"/>
    <x v="0"/>
    <n v="29"/>
    <n v="929"/>
    <n v="24"/>
    <n v="87.213057815135599"/>
    <s v="Fail"/>
    <n v="2.8530906166490499"/>
    <s v="Rail"/>
    <s v="Route A"/>
    <n v="430.16909697513597"/>
    <n v="8772.4899236131914"/>
    <n v="23.326537762069552"/>
    <n v="0.24103796308746817"/>
    <n v="9.7387173396674589E-2"/>
    <n v="248.82675690163447"/>
  </r>
  <r>
    <x v="0"/>
    <x v="61"/>
    <n v="52.028749903294901"/>
    <n v="23"/>
    <n v="117"/>
    <n v="6885.5893508962499"/>
    <s v="Unknown"/>
    <n v="32"/>
    <n v="23"/>
    <n v="36"/>
    <n v="7"/>
    <x v="2"/>
    <n v="9.0303404225219399"/>
    <x v="3"/>
    <x v="1"/>
    <n v="14"/>
    <n v="480"/>
    <n v="12"/>
    <n v="78.702393968878894"/>
    <s v="Fail"/>
    <n v="4.3674705382050503"/>
    <s v="Air"/>
    <s v="Route A"/>
    <n v="164.366528243419"/>
    <n v="6797.8566165048487"/>
    <n v="58.851191033301284"/>
    <n v="0.74985243069573371"/>
    <n v="0.21476510067114093"/>
    <n v="343.73038694528543"/>
  </r>
  <r>
    <x v="2"/>
    <x v="62"/>
    <n v="72.796353955587307"/>
    <n v="89"/>
    <n v="270"/>
    <n v="3899.7468337292198"/>
    <s v="Unknown"/>
    <n v="86"/>
    <n v="2"/>
    <n v="40"/>
    <n v="7"/>
    <x v="2"/>
    <n v="7.2917013887767697"/>
    <x v="4"/>
    <x v="0"/>
    <n v="13"/>
    <n v="751"/>
    <n v="14"/>
    <n v="21.048642725168602"/>
    <s v="Pass"/>
    <n v="1.87400140404437"/>
    <s v="Sea"/>
    <s v="Route C"/>
    <n v="320.84651575911101"/>
    <n v="3871.4064896152745"/>
    <n v="14.443506791589703"/>
    <n v="0.10496423745905693"/>
    <n v="0.24157303370786518"/>
    <n v="39.445186020194271"/>
  </r>
  <r>
    <x v="1"/>
    <x v="63"/>
    <n v="13.0173767852878"/>
    <n v="55"/>
    <n v="246"/>
    <n v="4256.9491408502199"/>
    <s v="Non-binary"/>
    <n v="54"/>
    <n v="19"/>
    <n v="10"/>
    <n v="4"/>
    <x v="1"/>
    <n v="2.45793352798733"/>
    <x v="0"/>
    <x v="3"/>
    <n v="18"/>
    <n v="736"/>
    <n v="10"/>
    <n v="20.075003975630398"/>
    <s v="Pending"/>
    <n v="3.6328432903821302"/>
    <s v="Sea"/>
    <s v="Route A"/>
    <n v="687.28617786641701"/>
    <n v="4234.4162033466018"/>
    <n v="17.304671304269188"/>
    <n v="9.1597306925275318E-2"/>
    <n v="0.18"/>
    <n v="72.929343497263474"/>
  </r>
  <r>
    <x v="1"/>
    <x v="64"/>
    <n v="89.634095608135297"/>
    <n v="11"/>
    <n v="134"/>
    <n v="8458.7308783671706"/>
    <s v="Female"/>
    <n v="73"/>
    <n v="27"/>
    <n v="75"/>
    <n v="6"/>
    <x v="2"/>
    <n v="4.5853534681946497"/>
    <x v="1"/>
    <x v="2"/>
    <n v="17"/>
    <n v="328"/>
    <n v="6"/>
    <n v="8.6930424258772803"/>
    <s v="Fail"/>
    <n v="0.15948631471751401"/>
    <s v="Air"/>
    <s v="Route C"/>
    <n v="771.225084681157"/>
    <n v="8445.4524824730979"/>
    <n v="63.124857301247545"/>
    <n v="9.9092506672178587E-2"/>
    <n v="0.35265700483091789"/>
    <n v="1.3864213001861654"/>
  </r>
  <r>
    <x v="1"/>
    <x v="65"/>
    <n v="33.697717206643098"/>
    <n v="72"/>
    <n v="457"/>
    <n v="8354.5796864819895"/>
    <s v="Male"/>
    <n v="57"/>
    <n v="24"/>
    <n v="54"/>
    <n v="8"/>
    <x v="2"/>
    <n v="6.5805413478845898"/>
    <x v="2"/>
    <x v="1"/>
    <n v="16"/>
    <n v="358"/>
    <n v="21"/>
    <n v="1.59722274305067"/>
    <s v="Fail"/>
    <n v="4.9110959548423301"/>
    <s v="Rail"/>
    <s v="Route C"/>
    <n v="555.85910367174301"/>
    <n v="8346.4019223910545"/>
    <n v="18.281355987925579"/>
    <n v="1.7894450964847396E-2"/>
    <n v="0.11089494163424124"/>
    <n v="7.8441141523783156"/>
  </r>
  <r>
    <x v="1"/>
    <x v="66"/>
    <n v="26.034869773962001"/>
    <n v="52"/>
    <n v="704"/>
    <n v="8367.7216180201503"/>
    <s v="Female"/>
    <n v="13"/>
    <n v="17"/>
    <n v="19"/>
    <n v="8"/>
    <x v="1"/>
    <n v="2.2161427287713602"/>
    <x v="2"/>
    <x v="1"/>
    <n v="24"/>
    <n v="867"/>
    <n v="28"/>
    <n v="42.084436738309897"/>
    <s v="Fail"/>
    <n v="3.44806328834026"/>
    <s v="Road"/>
    <s v="Route A"/>
    <n v="393.84334857842703"/>
    <n v="8323.4210385530696"/>
    <n v="11.885968207414987"/>
    <n v="6.292695947028587E-2"/>
    <n v="1.813110181311018E-2"/>
    <n v="145.10980132784448"/>
  </r>
  <r>
    <x v="1"/>
    <x v="67"/>
    <n v="87.755432354001002"/>
    <n v="16"/>
    <n v="513"/>
    <n v="9473.7980325083299"/>
    <s v="Unknown"/>
    <n v="12"/>
    <n v="9"/>
    <n v="71"/>
    <n v="9"/>
    <x v="2"/>
    <n v="9.1478115447106294"/>
    <x v="1"/>
    <x v="0"/>
    <n v="10"/>
    <n v="198"/>
    <n v="11"/>
    <n v="7.0578761469782298"/>
    <s v="Pass"/>
    <n v="0.131955444311814"/>
    <s v="Sea"/>
    <s v="Route C"/>
    <n v="169.27180138478599"/>
    <n v="9457.5923448166413"/>
    <n v="18.467442558495769"/>
    <n v="3.1590034486722922E-2"/>
    <n v="2.2857142857142857E-2"/>
    <n v="0.93132518287226618"/>
  </r>
  <r>
    <x v="0"/>
    <x v="68"/>
    <n v="37.931812382790298"/>
    <n v="29"/>
    <n v="163"/>
    <n v="3550.21843278099"/>
    <s v="Non-binary"/>
    <n v="0"/>
    <n v="8"/>
    <n v="58"/>
    <n v="8"/>
    <x v="0"/>
    <n v="1.19425186488499"/>
    <x v="4"/>
    <x v="3"/>
    <n v="2"/>
    <n v="375"/>
    <n v="18"/>
    <n v="97.113581563462205"/>
    <s v="Fail"/>
    <n v="1.9834678721741801"/>
    <s v="Rail"/>
    <s v="Route A"/>
    <n v="299.70630311810299"/>
    <n v="3451.9105993526427"/>
    <n v="21.780481182705461"/>
    <n v="0.6031155425051975"/>
    <n v="0"/>
    <n v="192.62166898289405"/>
  </r>
  <r>
    <x v="1"/>
    <x v="69"/>
    <n v="54.865528517069698"/>
    <n v="62"/>
    <n v="511"/>
    <n v="1752.3810874841199"/>
    <s v="Non-binary"/>
    <n v="95"/>
    <n v="1"/>
    <n v="27"/>
    <n v="3"/>
    <x v="0"/>
    <n v="9.7052867901203399"/>
    <x v="3"/>
    <x v="1"/>
    <n v="9"/>
    <n v="862"/>
    <n v="7"/>
    <n v="77.627765812748095"/>
    <s v="Pending"/>
    <n v="1.3623879886490999"/>
    <s v="Air"/>
    <s v="Route A"/>
    <n v="207.66320620857499"/>
    <n v="1665.0480348812514"/>
    <n v="3.4293171966421134"/>
    <n v="0.17090616947723763"/>
    <n v="0.15676567656765678"/>
    <n v="105.75913572895324"/>
  </r>
  <r>
    <x v="0"/>
    <x v="70"/>
    <n v="47.914541824058702"/>
    <n v="90"/>
    <n v="32"/>
    <n v="7014.8879872033804"/>
    <s v="Female"/>
    <n v="10"/>
    <n v="12"/>
    <n v="22"/>
    <n v="4"/>
    <x v="0"/>
    <n v="6.3157177546007199"/>
    <x v="1"/>
    <x v="3"/>
    <n v="22"/>
    <n v="775"/>
    <n v="16"/>
    <n v="11.440781823761199"/>
    <s v="Pass"/>
    <n v="1.8305755986122301"/>
    <s v="Road"/>
    <s v="Route C"/>
    <n v="183.27289874871099"/>
    <n v="6997.1314876250181"/>
    <n v="219.21524960010564"/>
    <n v="0.55489061182380994"/>
    <n v="0.23809523809523808"/>
    <n v="20.943216035623578"/>
  </r>
  <r>
    <x v="2"/>
    <x v="71"/>
    <n v="6.3815331627479601"/>
    <n v="14"/>
    <n v="637"/>
    <n v="8180.3370854254399"/>
    <s v="Female"/>
    <n v="76"/>
    <n v="2"/>
    <n v="26"/>
    <n v="6"/>
    <x v="1"/>
    <n v="9.2281903170525101"/>
    <x v="4"/>
    <x v="3"/>
    <n v="2"/>
    <n v="258"/>
    <n v="10"/>
    <n v="30.661677477859499"/>
    <s v="Pending"/>
    <n v="2.07875060787496"/>
    <s v="Road"/>
    <s v="Route A"/>
    <n v="405.167067888855"/>
    <n v="8140.447217630528"/>
    <n v="12.841973446507755"/>
    <n v="6.2621456506926229E-2"/>
    <n v="0.10659186535764376"/>
    <n v="63.737980695566407"/>
  </r>
  <r>
    <x v="2"/>
    <x v="72"/>
    <n v="90.204427520528"/>
    <n v="88"/>
    <n v="478"/>
    <n v="2633.1219813122498"/>
    <s v="Non-binary"/>
    <n v="57"/>
    <n v="29"/>
    <n v="77"/>
    <n v="9"/>
    <x v="1"/>
    <n v="6.5996141596895397"/>
    <x v="1"/>
    <x v="3"/>
    <n v="21"/>
    <n v="152"/>
    <n v="11"/>
    <n v="55.760492895244198"/>
    <s v="Pending"/>
    <n v="3.2133296074383"/>
    <s v="Rail"/>
    <s v="Route B"/>
    <n v="677.94456984618296"/>
    <n v="2570.7618742573159"/>
    <n v="5.5086233918666316"/>
    <n v="0.13046047501032162"/>
    <n v="0.10654205607476636"/>
    <n v="179.17684274564115"/>
  </r>
  <r>
    <x v="2"/>
    <x v="73"/>
    <n v="83.851017681304597"/>
    <n v="41"/>
    <n v="375"/>
    <n v="7910.8869161406801"/>
    <s v="Male"/>
    <n v="17"/>
    <n v="25"/>
    <n v="66"/>
    <n v="5"/>
    <x v="0"/>
    <n v="1.5129368369160701"/>
    <x v="3"/>
    <x v="4"/>
    <n v="13"/>
    <n v="444"/>
    <n v="4"/>
    <n v="46.870238797617098"/>
    <s v="Fail"/>
    <n v="4.6205460645137002"/>
    <s v="Road"/>
    <s v="Route A"/>
    <n v="866.472800129657"/>
    <n v="7862.5037405061466"/>
    <n v="21.095698443041815"/>
    <n v="0.12902180169208843"/>
    <n v="4.336734693877551E-2"/>
    <n v="216.56609741914701"/>
  </r>
  <r>
    <x v="0"/>
    <x v="74"/>
    <n v="3.1700114135661499"/>
    <n v="64"/>
    <n v="904"/>
    <n v="5709.9452959692799"/>
    <s v="Female"/>
    <n v="41"/>
    <n v="6"/>
    <n v="1"/>
    <n v="5"/>
    <x v="1"/>
    <n v="5.2376546500374399"/>
    <x v="3"/>
    <x v="2"/>
    <n v="1"/>
    <n v="919"/>
    <n v="9"/>
    <n v="80.580852156447804"/>
    <s v="Fail"/>
    <n v="0.39661272410993498"/>
    <s v="Rail"/>
    <s v="Route A"/>
    <n v="341.55265678322297"/>
    <n v="5624.1267891627949"/>
    <n v="6.3163111681076103"/>
    <n v="9.4931976555846509E-2"/>
    <n v="4.3386243386243389E-2"/>
    <n v="31.959391284868691"/>
  </r>
  <r>
    <x v="1"/>
    <x v="75"/>
    <n v="92.996884233970604"/>
    <n v="29"/>
    <n v="106"/>
    <n v="1889.07358977933"/>
    <s v="Non-binary"/>
    <n v="16"/>
    <n v="20"/>
    <n v="56"/>
    <n v="10"/>
    <x v="2"/>
    <n v="2.47389776104546"/>
    <x v="1"/>
    <x v="4"/>
    <n v="25"/>
    <n v="759"/>
    <n v="11"/>
    <n v="48.064782640006499"/>
    <s v="Pass"/>
    <n v="2.0300690886687498"/>
    <s v="Air"/>
    <s v="Route C"/>
    <n v="873.12964801765099"/>
    <n v="1838.5349093782779"/>
    <n v="17.821448960182359"/>
    <n v="0.47678000378350899"/>
    <n v="0.13114754098360656"/>
    <n v="97.574829491059532"/>
  </r>
  <r>
    <x v="0"/>
    <x v="76"/>
    <n v="69.108799547430294"/>
    <n v="23"/>
    <n v="241"/>
    <n v="5328.3759842977497"/>
    <s v="Male"/>
    <n v="38"/>
    <n v="1"/>
    <n v="22"/>
    <n v="10"/>
    <x v="1"/>
    <n v="7.0545383368369201"/>
    <x v="4"/>
    <x v="3"/>
    <n v="25"/>
    <n v="985"/>
    <n v="24"/>
    <n v="64.323597795600193"/>
    <s v="Pending"/>
    <n v="2.1800374515822099"/>
    <s v="Rail"/>
    <s v="Route A"/>
    <n v="997.41345013319403"/>
    <n v="5256.9978481653125"/>
    <n v="22.109443918247923"/>
    <n v="0.2961748387238054"/>
    <n v="0.13620071684587814"/>
    <n v="140.2278522149193"/>
  </r>
  <r>
    <x v="0"/>
    <x v="77"/>
    <n v="57.449742958971399"/>
    <n v="14"/>
    <n v="359"/>
    <n v="2483.7601775427902"/>
    <s v="Unknown"/>
    <n v="96"/>
    <n v="28"/>
    <n v="57"/>
    <n v="4"/>
    <x v="0"/>
    <n v="6.7809466256178901"/>
    <x v="1"/>
    <x v="1"/>
    <n v="26"/>
    <n v="334"/>
    <n v="5"/>
    <n v="42.952444748991802"/>
    <s v="Pass"/>
    <n v="3.0551418183075398"/>
    <s v="Road"/>
    <s v="Route B"/>
    <n v="852.56809891984994"/>
    <n v="2434.0267861681805"/>
    <n v="6.9185520265815885"/>
    <n v="0.13853312360615513"/>
    <n v="0.21098901098901099"/>
    <n v="131.22581015118897"/>
  </r>
  <r>
    <x v="0"/>
    <x v="78"/>
    <n v="6.30688317611191"/>
    <n v="50"/>
    <n v="946"/>
    <n v="1292.45841793775"/>
    <s v="Unknown"/>
    <n v="5"/>
    <n v="4"/>
    <n v="51"/>
    <n v="5"/>
    <x v="0"/>
    <n v="8.4670497708619905"/>
    <x v="2"/>
    <x v="0"/>
    <n v="25"/>
    <n v="858"/>
    <n v="21"/>
    <n v="71.126514720403307"/>
    <s v="Pending"/>
    <n v="4.0968813324704501"/>
    <s v="Sea"/>
    <s v="Route C"/>
    <n v="323.59220343132199"/>
    <n v="1212.8648534464846"/>
    <n v="1.3662351140991016"/>
    <n v="8.4136960350174733E-2"/>
    <n v="5.2576235541535229E-3"/>
    <n v="291.39689040170498"/>
  </r>
  <r>
    <x v="0"/>
    <x v="79"/>
    <n v="57.057031221103202"/>
    <n v="56"/>
    <n v="198"/>
    <n v="7888.7232684270803"/>
    <s v="Non-binary"/>
    <n v="31"/>
    <n v="25"/>
    <n v="20"/>
    <n v="1"/>
    <x v="0"/>
    <n v="6.49632536429504"/>
    <x v="0"/>
    <x v="3"/>
    <n v="5"/>
    <n v="228"/>
    <n v="12"/>
    <n v="57.870902924036201"/>
    <s v="Pending"/>
    <n v="0.16587162748060799"/>
    <s v="Air"/>
    <s v="Route C"/>
    <n v="351.50421933503799"/>
    <n v="7824.3560401387494"/>
    <n v="39.842036709227678"/>
    <n v="0.32508701155722852"/>
    <n v="0.13537117903930132"/>
    <n v="9.5991408517821597"/>
  </r>
  <r>
    <x v="1"/>
    <x v="80"/>
    <n v="91.128318350444303"/>
    <n v="75"/>
    <n v="872"/>
    <n v="8651.67268298206"/>
    <s v="Unknown"/>
    <n v="39"/>
    <n v="14"/>
    <n v="41"/>
    <n v="2"/>
    <x v="2"/>
    <n v="2.8331846794189701"/>
    <x v="0"/>
    <x v="4"/>
    <n v="8"/>
    <n v="202"/>
    <n v="5"/>
    <n v="76.961228023819999"/>
    <s v="Fail"/>
    <n v="2.8496621985053299"/>
    <s v="Sea"/>
    <s v="Route B"/>
    <n v="787.77985049434403"/>
    <n v="8571.8782702788212"/>
    <n v="9.9216429850711698"/>
    <n v="9.1507354017475895E-2"/>
    <n v="4.2810098792535674E-2"/>
    <n v="219.3135022500289"/>
  </r>
  <r>
    <x v="0"/>
    <x v="81"/>
    <n v="72.819206930318202"/>
    <n v="9"/>
    <n v="774"/>
    <n v="4384.4134000458598"/>
    <s v="Unknown"/>
    <n v="48"/>
    <n v="6"/>
    <n v="8"/>
    <n v="5"/>
    <x v="0"/>
    <n v="4.0662775015120403"/>
    <x v="0"/>
    <x v="2"/>
    <n v="28"/>
    <n v="698"/>
    <n v="1"/>
    <n v="19.789592941903599"/>
    <s v="Pending"/>
    <n v="2.54754712154871"/>
    <s v="Rail"/>
    <s v="Route B"/>
    <n v="276.77833594679799"/>
    <n v="4360.5575296024444"/>
    <n v="5.6646167959248839"/>
    <n v="3.0821538040588681E-2"/>
    <n v="5.8394160583941604E-2"/>
    <n v="50.41492053576718"/>
  </r>
  <r>
    <x v="1"/>
    <x v="82"/>
    <n v="17.034930739467899"/>
    <n v="13"/>
    <n v="336"/>
    <n v="2943.3818676094502"/>
    <s v="Unknown"/>
    <n v="42"/>
    <n v="19"/>
    <n v="72"/>
    <n v="1"/>
    <x v="1"/>
    <n v="4.7081818735419301"/>
    <x v="4"/>
    <x v="0"/>
    <n v="6"/>
    <n v="955"/>
    <n v="26"/>
    <n v="4.4652784349432402"/>
    <s v="Pending"/>
    <n v="4.1378770486223502"/>
    <s v="Road"/>
    <s v="Route C"/>
    <n v="589.97855562804"/>
    <n v="2934.2084073009651"/>
    <n v="8.760065082170982"/>
    <n v="2.7301965203824913E-2"/>
    <n v="0.1111111111111111"/>
    <n v="18.476773151659962"/>
  </r>
  <r>
    <x v="0"/>
    <x v="83"/>
    <n v="68.911246211606297"/>
    <n v="82"/>
    <n v="663"/>
    <n v="2411.7546321104901"/>
    <s v="Unknown"/>
    <n v="65"/>
    <n v="24"/>
    <n v="7"/>
    <n v="8"/>
    <x v="0"/>
    <n v="4.94983957799694"/>
    <x v="1"/>
    <x v="3"/>
    <n v="20"/>
    <n v="443"/>
    <n v="5"/>
    <n v="97.730593800533001"/>
    <s v="Fail"/>
    <n v="0.77300613406724705"/>
    <s v="Road"/>
    <s v="Route A"/>
    <n v="682.97101822609295"/>
    <n v="2309.0741987319602"/>
    <n v="3.6376389624592611"/>
    <n v="0.15487244853473595"/>
    <n v="8.9285714285714288E-2"/>
    <n v="75.54634849384648"/>
  </r>
  <r>
    <x v="0"/>
    <x v="84"/>
    <n v="89.104367292102197"/>
    <n v="99"/>
    <n v="618"/>
    <n v="2048.2900998487098"/>
    <s v="Unknown"/>
    <n v="73"/>
    <n v="26"/>
    <n v="80"/>
    <n v="10"/>
    <x v="1"/>
    <n v="8.3816156249226292"/>
    <x v="2"/>
    <x v="4"/>
    <n v="24"/>
    <n v="589"/>
    <n v="22"/>
    <n v="33.808636513209002"/>
    <s v="Pass"/>
    <n v="4.8434565771180402"/>
    <s v="Air"/>
    <s v="Route B"/>
    <n v="465.45700596368698"/>
    <n v="2006.0998477105782"/>
    <n v="3.3143852748361002"/>
    <n v="6.826901640474374E-2"/>
    <n v="0.10564399421128799"/>
    <n v="163.75066288329526"/>
  </r>
  <r>
    <x v="2"/>
    <x v="85"/>
    <n v="76.962994415193805"/>
    <n v="83"/>
    <n v="25"/>
    <n v="8684.6130592538502"/>
    <s v="Female"/>
    <n v="15"/>
    <n v="18"/>
    <n v="66"/>
    <n v="2"/>
    <x v="2"/>
    <n v="8.2491687048717193"/>
    <x v="2"/>
    <x v="4"/>
    <n v="4"/>
    <n v="211"/>
    <n v="2"/>
    <n v="69.929345518672307"/>
    <s v="Fail"/>
    <n v="1.3744289997457499"/>
    <s v="Road"/>
    <s v="Route B"/>
    <n v="842.68683000464102"/>
    <n v="8606.4345450303063"/>
    <n v="347.384522370154"/>
    <n v="3.1271405689417611"/>
    <n v="0.375"/>
    <n v="96.112920414103726"/>
  </r>
  <r>
    <x v="1"/>
    <x v="86"/>
    <n v="19.9981769404042"/>
    <n v="18"/>
    <n v="223"/>
    <n v="1229.59102856498"/>
    <s v="Unknown"/>
    <n v="32"/>
    <n v="14"/>
    <n v="22"/>
    <n v="6"/>
    <x v="0"/>
    <n v="1.4543053101535499"/>
    <x v="1"/>
    <x v="0"/>
    <n v="4"/>
    <n v="569"/>
    <n v="18"/>
    <n v="74.608969995194599"/>
    <s v="Pass"/>
    <n v="2.0515129307662399"/>
    <s v="Rail"/>
    <s v="Route A"/>
    <n v="264.25488983586598"/>
    <n v="1153.5277532596319"/>
    <n v="5.5138611146411662"/>
    <n v="0.34109092065178537"/>
    <n v="0.12549019607843137"/>
    <n v="153.06126669629214"/>
  </r>
  <r>
    <x v="0"/>
    <x v="87"/>
    <n v="80.414036650355698"/>
    <n v="24"/>
    <n v="79"/>
    <n v="5133.8467010866898"/>
    <s v="Male"/>
    <n v="5"/>
    <n v="7"/>
    <n v="55"/>
    <n v="10"/>
    <x v="1"/>
    <n v="6.5758037975485299"/>
    <x v="0"/>
    <x v="4"/>
    <n v="27"/>
    <n v="523"/>
    <n v="17"/>
    <n v="28.696996824143099"/>
    <s v="Fail"/>
    <n v="3.6937377878392699"/>
    <s v="Sea"/>
    <s v="Route B"/>
    <n v="879.35921773492396"/>
    <n v="5098.5739004649986"/>
    <n v="64.985401279578355"/>
    <n v="0.44649114711002064"/>
    <n v="5.9523809523809521E-2"/>
    <n v="105.99918156684089"/>
  </r>
  <r>
    <x v="2"/>
    <x v="88"/>
    <n v="75.270406975724995"/>
    <n v="58"/>
    <n v="737"/>
    <n v="9444.7420330629793"/>
    <s v="Male"/>
    <n v="60"/>
    <n v="18"/>
    <n v="85"/>
    <n v="7"/>
    <x v="1"/>
    <n v="3.8012531329310701"/>
    <x v="4"/>
    <x v="0"/>
    <n v="21"/>
    <n v="953"/>
    <n v="11"/>
    <n v="68.1849190570411"/>
    <s v="Pending"/>
    <n v="0.722204401882931"/>
    <s v="Sea"/>
    <s v="Route A"/>
    <n v="103.916247960704"/>
    <n v="9372.7558608730069"/>
    <n v="12.815118090994545"/>
    <n v="9.767458913157688E-2"/>
    <n v="7.5282308657465491E-2"/>
    <n v="49.243448685026429"/>
  </r>
  <r>
    <x v="2"/>
    <x v="89"/>
    <n v="97.760085581938597"/>
    <n v="10"/>
    <n v="134"/>
    <n v="5924.6825668532301"/>
    <s v="Unknown"/>
    <n v="90"/>
    <n v="1"/>
    <n v="27"/>
    <n v="8"/>
    <x v="0"/>
    <n v="9.9298162452772498"/>
    <x v="1"/>
    <x v="1"/>
    <n v="23"/>
    <n v="370"/>
    <n v="11"/>
    <n v="46.603873381644398"/>
    <s v="Pending"/>
    <n v="1.9076657339590699"/>
    <s v="Rail"/>
    <s v="Route B"/>
    <n v="517.49997392906005"/>
    <n v="5868.1488772263083"/>
    <n v="44.214049006367389"/>
    <n v="0.42189320617105708"/>
    <n v="0.4017857142857143"/>
    <n v="88.904612319930223"/>
  </r>
  <r>
    <x v="1"/>
    <x v="90"/>
    <n v="13.881913501359101"/>
    <n v="56"/>
    <n v="320"/>
    <n v="9592.6335702803099"/>
    <s v="Non-binary"/>
    <n v="66"/>
    <n v="18"/>
    <n v="96"/>
    <n v="7"/>
    <x v="0"/>
    <n v="7.6744307081126903"/>
    <x v="0"/>
    <x v="3"/>
    <n v="8"/>
    <n v="585"/>
    <n v="8"/>
    <n v="85.675963335797903"/>
    <s v="Pass"/>
    <n v="1.2193822244013801"/>
    <s v="Rail"/>
    <s v="Route B"/>
    <n v="990.07847250581096"/>
    <n v="9499.2831762363985"/>
    <n v="29.976979907125969"/>
    <n v="0.29171998138722061"/>
    <n v="0.17098445595854922"/>
    <n v="104.47174675013633"/>
  </r>
  <r>
    <x v="2"/>
    <x v="91"/>
    <n v="62.111965463961702"/>
    <n v="90"/>
    <n v="916"/>
    <n v="1935.20679350759"/>
    <s v="Male"/>
    <n v="98"/>
    <n v="22"/>
    <n v="85"/>
    <n v="7"/>
    <x v="0"/>
    <n v="7.4715140844011403"/>
    <x v="3"/>
    <x v="2"/>
    <n v="5"/>
    <n v="207"/>
    <n v="28"/>
    <n v="39.772882502339897"/>
    <s v="Pending"/>
    <n v="0.62600185820939402"/>
    <s v="Rail"/>
    <s v="Route B"/>
    <n v="996.77831495062298"/>
    <n v="1887.962396920849"/>
    <n v="2.1126711719515172"/>
    <n v="5.1576852168931264E-2"/>
    <n v="9.6646942800788949E-2"/>
    <n v="24.897898352808667"/>
  </r>
  <r>
    <x v="2"/>
    <x v="92"/>
    <n v="47.714233075820196"/>
    <n v="44"/>
    <n v="276"/>
    <n v="2100.1297546259302"/>
    <s v="Male"/>
    <n v="90"/>
    <n v="25"/>
    <n v="10"/>
    <n v="8"/>
    <x v="0"/>
    <n v="4.4695000261236002"/>
    <x v="4"/>
    <x v="0"/>
    <n v="4"/>
    <n v="671"/>
    <n v="29"/>
    <n v="62.612690395614301"/>
    <s v="Pass"/>
    <n v="0.33343182522473902"/>
    <s v="Rail"/>
    <s v="Route B"/>
    <n v="230.092782536762"/>
    <n v="2033.0475642041922"/>
    <n v="7.6091657776301815"/>
    <n v="0.24305141457151416"/>
    <n v="0.24590163934426229"/>
    <n v="20.877063640841165"/>
  </r>
  <r>
    <x v="0"/>
    <x v="93"/>
    <n v="69.290831002905406"/>
    <n v="88"/>
    <n v="114"/>
    <n v="4531.4021336919004"/>
    <s v="Unknown"/>
    <n v="63"/>
    <n v="17"/>
    <n v="66"/>
    <n v="1"/>
    <x v="2"/>
    <n v="7.00643205900439"/>
    <x v="3"/>
    <x v="4"/>
    <n v="21"/>
    <n v="824"/>
    <n v="20"/>
    <n v="35.633652343343797"/>
    <s v="Fail"/>
    <n v="4.1657817954241398"/>
    <s v="Air"/>
    <s v="Route A"/>
    <n v="823.52384588815505"/>
    <n v="4488.7620492895521"/>
    <n v="39.749141523613162"/>
    <n v="0.37403582809077357"/>
    <n v="0.3559322033898305"/>
    <n v="148.44202023637433"/>
  </r>
  <r>
    <x v="2"/>
    <x v="94"/>
    <n v="3.0376887246314102"/>
    <n v="97"/>
    <n v="987"/>
    <n v="7888.3565466618702"/>
    <s v="Unknown"/>
    <n v="77"/>
    <n v="26"/>
    <n v="72"/>
    <n v="9"/>
    <x v="0"/>
    <n v="6.9429459420325799"/>
    <x v="4"/>
    <x v="2"/>
    <n v="12"/>
    <n v="908"/>
    <n v="14"/>
    <n v="60.387378614862101"/>
    <s v="Pass"/>
    <n v="1.4636074984727701"/>
    <s v="Rail"/>
    <s v="Route B"/>
    <n v="846.66525698669398"/>
    <n v="7821.0262221049752"/>
    <n v="7.9922558730110138"/>
    <n v="6.8217147474057424E-2"/>
    <n v="7.2368421052631582E-2"/>
    <n v="88.383420153826364"/>
  </r>
  <r>
    <x v="0"/>
    <x v="95"/>
    <n v="77.903927219447695"/>
    <n v="65"/>
    <n v="672"/>
    <n v="7386.3639440486604"/>
    <s v="Unknown"/>
    <n v="15"/>
    <n v="14"/>
    <n v="26"/>
    <n v="9"/>
    <x v="0"/>
    <n v="8.6303388696027508"/>
    <x v="3"/>
    <x v="0"/>
    <n v="18"/>
    <n v="450"/>
    <n v="26"/>
    <n v="58.890685768589897"/>
    <s v="Pending"/>
    <n v="1.21088212958506"/>
    <s v="Air"/>
    <s v="Route A"/>
    <n v="778.86424137664699"/>
    <n v="7318.8429194104674"/>
    <n v="10.991613011977174"/>
    <n v="0.10047771523540572"/>
    <n v="2.1834061135371178E-2"/>
    <n v="71.30967899619472"/>
  </r>
  <r>
    <x v="2"/>
    <x v="96"/>
    <n v="24.423131420373299"/>
    <n v="29"/>
    <n v="324"/>
    <n v="7698.4247656321104"/>
    <s v="Non-binary"/>
    <n v="67"/>
    <n v="2"/>
    <n v="32"/>
    <n v="3"/>
    <x v="2"/>
    <n v="5.3528780439967996"/>
    <x v="0"/>
    <x v="0"/>
    <n v="28"/>
    <n v="648"/>
    <n v="28"/>
    <n v="17.803756331391199"/>
    <s v="Pending"/>
    <n v="3.8720476814821301"/>
    <s v="Road"/>
    <s v="Route A"/>
    <n v="188.74214114905601"/>
    <n v="7675.268131256722"/>
    <n v="23.760570264296636"/>
    <n v="7.147109375119752E-2"/>
    <n v="0.17135549872122763"/>
    <n v="68.936993424636086"/>
  </r>
  <r>
    <x v="0"/>
    <x v="97"/>
    <n v="3.5261112591434101"/>
    <n v="56"/>
    <n v="62"/>
    <n v="4370.9165799845296"/>
    <s v="Male"/>
    <n v="46"/>
    <n v="19"/>
    <n v="4"/>
    <n v="9"/>
    <x v="1"/>
    <n v="7.9048456112096703"/>
    <x v="3"/>
    <x v="0"/>
    <n v="10"/>
    <n v="535"/>
    <n v="13"/>
    <n v="65.765155926367399"/>
    <s v="Fail"/>
    <n v="3.3762378347179798"/>
    <s v="Road"/>
    <s v="Route A"/>
    <n v="540.13242286796697"/>
    <n v="4297.2465784469523"/>
    <n v="70.498654515879508"/>
    <n v="1.188225831251243"/>
    <n v="0.42592592592592593"/>
    <n v="222.03880764472899"/>
  </r>
  <r>
    <x v="1"/>
    <x v="98"/>
    <n v="19.754604866878601"/>
    <n v="43"/>
    <n v="913"/>
    <n v="8525.9525596835192"/>
    <s v="Female"/>
    <n v="53"/>
    <n v="1"/>
    <n v="27"/>
    <n v="7"/>
    <x v="0"/>
    <n v="1.4098010951380699"/>
    <x v="2"/>
    <x v="4"/>
    <n v="28"/>
    <n v="581"/>
    <n v="9"/>
    <n v="5.6046908643717801"/>
    <s v="Pending"/>
    <n v="2.9081221693512598"/>
    <s v="Rail"/>
    <s v="Route A"/>
    <n v="882.19886354704101"/>
    <n v="8518.9380677240097"/>
    <n v="9.3383927269260898"/>
    <n v="7.6829046653996164E-3"/>
    <n v="5.4865424430641824E-2"/>
    <n v="16.299125755040048"/>
  </r>
  <r>
    <x v="0"/>
    <x v="99"/>
    <n v="68.517832699276596"/>
    <n v="17"/>
    <n v="627"/>
    <n v="9185.1858291817007"/>
    <s v="Unknown"/>
    <n v="55"/>
    <n v="8"/>
    <n v="59"/>
    <n v="6"/>
    <x v="0"/>
    <n v="1.3110237561206199"/>
    <x v="4"/>
    <x v="4"/>
    <n v="29"/>
    <n v="921"/>
    <n v="2"/>
    <n v="38.072898520625998"/>
    <s v="Fail"/>
    <n v="0.34602729070550298"/>
    <s v="Rail"/>
    <s v="Route B"/>
    <n v="210.743008964246"/>
    <n v="9145.8019069049533"/>
    <n v="14.649419185297768"/>
    <n v="6.2813273168654885E-2"/>
    <n v="8.0645161290322578E-2"/>
    <n v="13.1742619243977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E85844-C4EF-46F3-BA0D-630733D4D7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9">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0"/>
  </rowFields>
  <rowItems count="4">
    <i>
      <x/>
    </i>
    <i>
      <x v="1"/>
    </i>
    <i>
      <x v="2"/>
    </i>
    <i t="grand">
      <x/>
    </i>
  </rowItems>
  <colItems count="1">
    <i/>
  </colItems>
  <dataFields count="1">
    <dataField name="Sum of Revenue generated" fld="5"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F1F9C-3D1F-4FCE-A89A-2AE96B43D83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9">
    <pivotField axis="axisRow"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0"/>
  </rowFields>
  <rowItems count="4">
    <i>
      <x/>
    </i>
    <i>
      <x v="1"/>
    </i>
    <i>
      <x v="2"/>
    </i>
    <i t="grand">
      <x/>
    </i>
  </rowItems>
  <colItems count="1">
    <i/>
  </colItems>
  <dataFields count="1">
    <dataField name="Sum of Stock levels" fld="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D861D-92EB-4F79-BECE-8A75FEB71D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8" firstHeaderRow="1" firstDataRow="2" firstDataCol="1"/>
  <pivotFields count="29">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items count="6">
        <item x="1"/>
        <item x="4"/>
        <item x="0"/>
        <item x="3"/>
        <item x="2"/>
        <item t="default"/>
      </items>
    </pivotField>
    <pivotField axis="axisCol"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1"/>
  </rowFields>
  <rowItems count="4">
    <i>
      <x/>
    </i>
    <i>
      <x v="1"/>
    </i>
    <i>
      <x v="2"/>
    </i>
    <i t="grand">
      <x/>
    </i>
  </rowItems>
  <colFields count="1">
    <field x="14"/>
  </colFields>
  <colItems count="6">
    <i>
      <x/>
    </i>
    <i>
      <x v="1"/>
    </i>
    <i>
      <x v="2"/>
    </i>
    <i>
      <x v="3"/>
    </i>
    <i>
      <x v="4"/>
    </i>
    <i t="grand">
      <x/>
    </i>
  </colItems>
  <dataFields count="1">
    <dataField name="Sum of Shipping costs" fld="12" baseField="0" baseItem="0"/>
  </dataFields>
  <chartFormats count="25">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9" format="4" series="1">
      <pivotArea type="data" outline="0" fieldPosition="0">
        <references count="2">
          <reference field="4294967294" count="1" selected="0">
            <x v="0"/>
          </reference>
          <reference field="14" count="1" selected="0">
            <x v="4"/>
          </reference>
        </references>
      </pivotArea>
    </chartFormat>
    <chartFormat chart="11" format="25" series="1">
      <pivotArea type="data" outline="0" fieldPosition="0">
        <references count="2">
          <reference field="4294967294" count="1" selected="0">
            <x v="0"/>
          </reference>
          <reference field="14" count="1" selected="0">
            <x v="0"/>
          </reference>
        </references>
      </pivotArea>
    </chartFormat>
    <chartFormat chart="11" format="26">
      <pivotArea type="data" outline="0" fieldPosition="0">
        <references count="3">
          <reference field="4294967294" count="1" selected="0">
            <x v="0"/>
          </reference>
          <reference field="11" count="1" selected="0">
            <x v="0"/>
          </reference>
          <reference field="14" count="1" selected="0">
            <x v="0"/>
          </reference>
        </references>
      </pivotArea>
    </chartFormat>
    <chartFormat chart="11" format="27">
      <pivotArea type="data" outline="0" fieldPosition="0">
        <references count="3">
          <reference field="4294967294" count="1" selected="0">
            <x v="0"/>
          </reference>
          <reference field="11" count="1" selected="0">
            <x v="1"/>
          </reference>
          <reference field="14" count="1" selected="0">
            <x v="0"/>
          </reference>
        </references>
      </pivotArea>
    </chartFormat>
    <chartFormat chart="11" format="28">
      <pivotArea type="data" outline="0" fieldPosition="0">
        <references count="3">
          <reference field="4294967294" count="1" selected="0">
            <x v="0"/>
          </reference>
          <reference field="11" count="1" selected="0">
            <x v="2"/>
          </reference>
          <reference field="14" count="1" selected="0">
            <x v="0"/>
          </reference>
        </references>
      </pivotArea>
    </chartFormat>
    <chartFormat chart="11" format="29" series="1">
      <pivotArea type="data" outline="0" fieldPosition="0">
        <references count="2">
          <reference field="4294967294" count="1" selected="0">
            <x v="0"/>
          </reference>
          <reference field="14" count="1" selected="0">
            <x v="1"/>
          </reference>
        </references>
      </pivotArea>
    </chartFormat>
    <chartFormat chart="11" format="30">
      <pivotArea type="data" outline="0" fieldPosition="0">
        <references count="3">
          <reference field="4294967294" count="1" selected="0">
            <x v="0"/>
          </reference>
          <reference field="11" count="1" selected="0">
            <x v="0"/>
          </reference>
          <reference field="14" count="1" selected="0">
            <x v="1"/>
          </reference>
        </references>
      </pivotArea>
    </chartFormat>
    <chartFormat chart="11" format="31">
      <pivotArea type="data" outline="0" fieldPosition="0">
        <references count="3">
          <reference field="4294967294" count="1" selected="0">
            <x v="0"/>
          </reference>
          <reference field="11" count="1" selected="0">
            <x v="1"/>
          </reference>
          <reference field="14" count="1" selected="0">
            <x v="1"/>
          </reference>
        </references>
      </pivotArea>
    </chartFormat>
    <chartFormat chart="11" format="32">
      <pivotArea type="data" outline="0" fieldPosition="0">
        <references count="3">
          <reference field="4294967294" count="1" selected="0">
            <x v="0"/>
          </reference>
          <reference field="11" count="1" selected="0">
            <x v="2"/>
          </reference>
          <reference field="14" count="1" selected="0">
            <x v="1"/>
          </reference>
        </references>
      </pivotArea>
    </chartFormat>
    <chartFormat chart="11" format="33" series="1">
      <pivotArea type="data" outline="0" fieldPosition="0">
        <references count="2">
          <reference field="4294967294" count="1" selected="0">
            <x v="0"/>
          </reference>
          <reference field="14" count="1" selected="0">
            <x v="2"/>
          </reference>
        </references>
      </pivotArea>
    </chartFormat>
    <chartFormat chart="11" format="34">
      <pivotArea type="data" outline="0" fieldPosition="0">
        <references count="3">
          <reference field="4294967294" count="1" selected="0">
            <x v="0"/>
          </reference>
          <reference field="11" count="1" selected="0">
            <x v="0"/>
          </reference>
          <reference field="14" count="1" selected="0">
            <x v="2"/>
          </reference>
        </references>
      </pivotArea>
    </chartFormat>
    <chartFormat chart="11" format="35">
      <pivotArea type="data" outline="0" fieldPosition="0">
        <references count="3">
          <reference field="4294967294" count="1" selected="0">
            <x v="0"/>
          </reference>
          <reference field="11" count="1" selected="0">
            <x v="1"/>
          </reference>
          <reference field="14" count="1" selected="0">
            <x v="2"/>
          </reference>
        </references>
      </pivotArea>
    </chartFormat>
    <chartFormat chart="11" format="36">
      <pivotArea type="data" outline="0" fieldPosition="0">
        <references count="3">
          <reference field="4294967294" count="1" selected="0">
            <x v="0"/>
          </reference>
          <reference field="11" count="1" selected="0">
            <x v="2"/>
          </reference>
          <reference field="14" count="1" selected="0">
            <x v="2"/>
          </reference>
        </references>
      </pivotArea>
    </chartFormat>
    <chartFormat chart="11" format="37" series="1">
      <pivotArea type="data" outline="0" fieldPosition="0">
        <references count="2">
          <reference field="4294967294" count="1" selected="0">
            <x v="0"/>
          </reference>
          <reference field="14" count="1" selected="0">
            <x v="3"/>
          </reference>
        </references>
      </pivotArea>
    </chartFormat>
    <chartFormat chart="11" format="38">
      <pivotArea type="data" outline="0" fieldPosition="0">
        <references count="3">
          <reference field="4294967294" count="1" selected="0">
            <x v="0"/>
          </reference>
          <reference field="11" count="1" selected="0">
            <x v="0"/>
          </reference>
          <reference field="14" count="1" selected="0">
            <x v="3"/>
          </reference>
        </references>
      </pivotArea>
    </chartFormat>
    <chartFormat chart="11" format="39">
      <pivotArea type="data" outline="0" fieldPosition="0">
        <references count="3">
          <reference field="4294967294" count="1" selected="0">
            <x v="0"/>
          </reference>
          <reference field="11" count="1" selected="0">
            <x v="1"/>
          </reference>
          <reference field="14" count="1" selected="0">
            <x v="3"/>
          </reference>
        </references>
      </pivotArea>
    </chartFormat>
    <chartFormat chart="11" format="40">
      <pivotArea type="data" outline="0" fieldPosition="0">
        <references count="3">
          <reference field="4294967294" count="1" selected="0">
            <x v="0"/>
          </reference>
          <reference field="11" count="1" selected="0">
            <x v="2"/>
          </reference>
          <reference field="14" count="1" selected="0">
            <x v="3"/>
          </reference>
        </references>
      </pivotArea>
    </chartFormat>
    <chartFormat chart="11" format="41" series="1">
      <pivotArea type="data" outline="0" fieldPosition="0">
        <references count="2">
          <reference field="4294967294" count="1" selected="0">
            <x v="0"/>
          </reference>
          <reference field="14" count="1" selected="0">
            <x v="4"/>
          </reference>
        </references>
      </pivotArea>
    </chartFormat>
    <chartFormat chart="11" format="42">
      <pivotArea type="data" outline="0" fieldPosition="0">
        <references count="3">
          <reference field="4294967294" count="1" selected="0">
            <x v="0"/>
          </reference>
          <reference field="11" count="1" selected="0">
            <x v="0"/>
          </reference>
          <reference field="14" count="1" selected="0">
            <x v="4"/>
          </reference>
        </references>
      </pivotArea>
    </chartFormat>
    <chartFormat chart="11" format="43">
      <pivotArea type="data" outline="0" fieldPosition="0">
        <references count="3">
          <reference field="4294967294" count="1" selected="0">
            <x v="0"/>
          </reference>
          <reference field="11" count="1" selected="0">
            <x v="1"/>
          </reference>
          <reference field="14" count="1" selected="0">
            <x v="4"/>
          </reference>
        </references>
      </pivotArea>
    </chartFormat>
    <chartFormat chart="11" format="44">
      <pivotArea type="data" outline="0" fieldPosition="0">
        <references count="3">
          <reference field="4294967294" count="1" selected="0">
            <x v="0"/>
          </reference>
          <reference field="11" count="1" selected="0">
            <x v="2"/>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41CEC-1D8D-4C77-95D8-145D8F36226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29">
    <pivotField showAll="0">
      <items count="4">
        <item x="2"/>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axis="axisRow" showAll="0" sortType="ascending">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3"/>
  </rowFields>
  <rowItems count="6">
    <i>
      <x/>
    </i>
    <i>
      <x v="1"/>
    </i>
    <i>
      <x v="2"/>
    </i>
    <i>
      <x v="3"/>
    </i>
    <i>
      <x v="4"/>
    </i>
    <i t="grand">
      <x/>
    </i>
  </rowItems>
  <colFields count="1">
    <field x="-2"/>
  </colFields>
  <colItems count="2">
    <i>
      <x/>
    </i>
    <i i="1">
      <x v="1"/>
    </i>
  </colItems>
  <dataFields count="2">
    <dataField name="Sum of Order quantities" fld="9" baseField="0" baseItem="0"/>
    <dataField name="Average of Lead times" fld="8" subtotal="average" baseField="13"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2D7867-AF29-4A77-96B1-DA7E6E613E0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9">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s>
  <rowFields count="1">
    <field x="0"/>
  </rowFields>
  <rowItems count="4">
    <i>
      <x/>
    </i>
    <i>
      <x v="1"/>
    </i>
    <i>
      <x v="2"/>
    </i>
    <i t="grand">
      <x/>
    </i>
  </rowItems>
  <colItems count="1">
    <i/>
  </colItems>
  <dataFields count="1">
    <dataField name="Sum of Profit" fld="2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F99E645-6701-455A-8BF9-E87641F0322D}" sourceName="Product type">
  <pivotTables>
    <pivotTable tabId="2" name="PivotTable1"/>
    <pivotTable tabId="3" name="PivotTable2"/>
    <pivotTable tabId="5" name="PivotTable4"/>
    <pivotTable tabId="6" name="PivotTable5"/>
    <pivotTable tabId="4" name="PivotTable3"/>
  </pivotTables>
  <data>
    <tabular pivotCacheId="20848938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51072089-0F02-4E1E-84F7-5581A6055277}" sourceName="Supplier name">
  <pivotTables>
    <pivotTable tabId="2" name="PivotTable1"/>
    <pivotTable tabId="3" name="PivotTable2"/>
    <pivotTable tabId="5" name="PivotTable4"/>
    <pivotTable tabId="6" name="PivotTable5"/>
    <pivotTable tabId="4" name="PivotTable3"/>
  </pivotTables>
  <data>
    <tabular pivotCacheId="2084893858">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4B8D5A1-2990-49F7-A3CC-A203D8BCE5B1}" sourceName="Location">
  <pivotTables>
    <pivotTable tabId="2" name="PivotTable1"/>
    <pivotTable tabId="3" name="PivotTable2"/>
    <pivotTable tabId="5" name="PivotTable4"/>
    <pivotTable tabId="6" name="PivotTable5"/>
    <pivotTable tabId="4" name="PivotTable3"/>
  </pivotTables>
  <data>
    <tabular pivotCacheId="2084893858">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471FFEFA-7BA0-4403-A66F-1A87FEA464D7}" cache="Slicer_Product_type" caption="Product type" rowHeight="234950"/>
  <slicer name="Supplier name 1" xr10:uid="{67FEACA2-733C-4598-8A56-E1051552C954}" cache="Slicer_Supplier_name" caption="Supplier name" rowHeight="234950"/>
  <slicer name="Location 1" xr10:uid="{FC552B89-A488-4FE8-B07E-956E8DBF34B9}"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1D26-058E-481C-90A0-86A2AC8AC790}">
  <dimension ref="K2:T40"/>
  <sheetViews>
    <sheetView showGridLines="0" tabSelected="1" topLeftCell="B1" zoomScale="80" zoomScaleNormal="80" workbookViewId="0">
      <selection activeCell="L56" sqref="L56"/>
    </sheetView>
  </sheetViews>
  <sheetFormatPr defaultRowHeight="14.4" x14ac:dyDescent="0.3"/>
  <sheetData>
    <row r="2" spans="11:20" ht="21" x14ac:dyDescent="0.4">
      <c r="K2" s="5" t="s">
        <v>173</v>
      </c>
    </row>
    <row r="4" spans="11:20" ht="18" x14ac:dyDescent="0.35">
      <c r="N4" s="4" t="s">
        <v>174</v>
      </c>
    </row>
    <row r="6" spans="11:20" x14ac:dyDescent="0.3">
      <c r="L6" s="6" t="s">
        <v>168</v>
      </c>
      <c r="S6" s="6" t="s">
        <v>170</v>
      </c>
      <c r="T6" s="6"/>
    </row>
    <row r="23" spans="12:19" x14ac:dyDescent="0.3">
      <c r="L23" s="6" t="s">
        <v>169</v>
      </c>
      <c r="S23" s="6" t="s">
        <v>171</v>
      </c>
    </row>
    <row r="40" spans="16:16" x14ac:dyDescent="0.3">
      <c r="P40" s="6" t="s">
        <v>172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1A917-692C-4CAB-9851-1B22380BA90C}">
  <dimension ref="A1:F7"/>
  <sheetViews>
    <sheetView showGridLines="0" zoomScale="126" zoomScaleNormal="126" workbookViewId="0">
      <selection activeCell="F1" sqref="F1"/>
    </sheetView>
  </sheetViews>
  <sheetFormatPr defaultRowHeight="14.4" x14ac:dyDescent="0.3"/>
  <cols>
    <col min="1" max="1" width="12.5546875" bestFit="1" customWidth="1"/>
    <col min="2" max="2" width="24.109375" bestFit="1" customWidth="1"/>
  </cols>
  <sheetData>
    <row r="1" spans="1:6" ht="18" x14ac:dyDescent="0.35">
      <c r="F1" s="4" t="s">
        <v>168</v>
      </c>
    </row>
    <row r="3" spans="1:6" x14ac:dyDescent="0.3">
      <c r="A3" s="2" t="s">
        <v>159</v>
      </c>
      <c r="B3" t="s">
        <v>161</v>
      </c>
    </row>
    <row r="4" spans="1:6" x14ac:dyDescent="0.3">
      <c r="A4" s="3" t="s">
        <v>57</v>
      </c>
      <c r="B4">
        <v>161521.26599948306</v>
      </c>
    </row>
    <row r="5" spans="1:6" x14ac:dyDescent="0.3">
      <c r="A5" s="3" t="s">
        <v>24</v>
      </c>
      <c r="B5">
        <v>174455.39060546222</v>
      </c>
    </row>
    <row r="6" spans="1:6" x14ac:dyDescent="0.3">
      <c r="A6" s="3" t="s">
        <v>33</v>
      </c>
      <c r="B6">
        <v>241628.16213306302</v>
      </c>
    </row>
    <row r="7" spans="1:6" x14ac:dyDescent="0.3">
      <c r="A7" s="3" t="s">
        <v>160</v>
      </c>
      <c r="B7">
        <v>577604.81873800838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6AFB-85EC-4125-8120-C6627F10FF9E}">
  <dimension ref="A3:F7"/>
  <sheetViews>
    <sheetView showGridLines="0" topLeftCell="A3" zoomScale="126" zoomScaleNormal="126" workbookViewId="0">
      <selection activeCell="C10" sqref="C10"/>
    </sheetView>
  </sheetViews>
  <sheetFormatPr defaultRowHeight="14.4" x14ac:dyDescent="0.3"/>
  <cols>
    <col min="1" max="1" width="12.5546875" bestFit="1" customWidth="1"/>
    <col min="2" max="2" width="17.44140625" bestFit="1" customWidth="1"/>
  </cols>
  <sheetData>
    <row r="3" spans="1:6" ht="18" x14ac:dyDescent="0.35">
      <c r="A3" s="2" t="s">
        <v>159</v>
      </c>
      <c r="B3" t="s">
        <v>162</v>
      </c>
      <c r="F3" s="4" t="s">
        <v>170</v>
      </c>
    </row>
    <row r="4" spans="1:6" x14ac:dyDescent="0.3">
      <c r="A4" s="3" t="s">
        <v>57</v>
      </c>
      <c r="B4">
        <v>1525</v>
      </c>
    </row>
    <row r="5" spans="1:6" x14ac:dyDescent="0.3">
      <c r="A5" s="3" t="s">
        <v>24</v>
      </c>
      <c r="B5">
        <v>1644</v>
      </c>
    </row>
    <row r="6" spans="1:6" x14ac:dyDescent="0.3">
      <c r="A6" s="3" t="s">
        <v>33</v>
      </c>
      <c r="B6">
        <v>1608</v>
      </c>
    </row>
    <row r="7" spans="1:6" x14ac:dyDescent="0.3">
      <c r="A7" s="3" t="s">
        <v>160</v>
      </c>
      <c r="B7">
        <v>4777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E1AC-3B89-4C2E-A4BE-125D32AD983D}">
  <dimension ref="A1:G8"/>
  <sheetViews>
    <sheetView showGridLines="0" zoomScale="107" zoomScaleNormal="107" workbookViewId="0">
      <selection activeCell="F1" sqref="F1"/>
    </sheetView>
  </sheetViews>
  <sheetFormatPr defaultRowHeight="14.4" x14ac:dyDescent="0.3"/>
  <cols>
    <col min="1" max="1" width="20" bestFit="1" customWidth="1"/>
    <col min="2" max="2" width="15.77734375" bestFit="1" customWidth="1"/>
    <col min="3" max="7" width="12.33203125" bestFit="1" customWidth="1"/>
  </cols>
  <sheetData>
    <row r="1" spans="1:7" ht="18" x14ac:dyDescent="0.35">
      <c r="F1" s="4" t="s">
        <v>169</v>
      </c>
    </row>
    <row r="3" spans="1:7" x14ac:dyDescent="0.3">
      <c r="A3" s="2" t="s">
        <v>163</v>
      </c>
      <c r="B3" s="2" t="s">
        <v>164</v>
      </c>
    </row>
    <row r="4" spans="1:7" x14ac:dyDescent="0.3">
      <c r="A4" s="2" t="s">
        <v>159</v>
      </c>
      <c r="B4" t="s">
        <v>53</v>
      </c>
      <c r="C4" t="s">
        <v>62</v>
      </c>
      <c r="D4" t="s">
        <v>50</v>
      </c>
      <c r="E4" t="s">
        <v>45</v>
      </c>
      <c r="F4" t="s">
        <v>29</v>
      </c>
      <c r="G4" t="s">
        <v>160</v>
      </c>
    </row>
    <row r="5" spans="1:7" x14ac:dyDescent="0.3">
      <c r="A5" s="3" t="s">
        <v>36</v>
      </c>
      <c r="B5">
        <v>39.660559960622287</v>
      </c>
      <c r="C5">
        <v>36.764522818110187</v>
      </c>
      <c r="D5">
        <v>25.328867000627092</v>
      </c>
      <c r="E5">
        <v>27.653025437761936</v>
      </c>
      <c r="F5">
        <v>26.130855389113979</v>
      </c>
      <c r="G5">
        <v>155.53783060623547</v>
      </c>
    </row>
    <row r="6" spans="1:7" x14ac:dyDescent="0.3">
      <c r="A6" s="3" t="s">
        <v>27</v>
      </c>
      <c r="B6">
        <v>46.543915848749698</v>
      </c>
      <c r="C6">
        <v>28.010681011937088</v>
      </c>
      <c r="D6">
        <v>30.762733896582599</v>
      </c>
      <c r="E6">
        <v>66.088898135285177</v>
      </c>
      <c r="F6">
        <v>65.491390771380665</v>
      </c>
      <c r="G6">
        <v>236.89761966393525</v>
      </c>
    </row>
    <row r="7" spans="1:7" x14ac:dyDescent="0.3">
      <c r="A7" s="3" t="s">
        <v>43</v>
      </c>
      <c r="B7">
        <v>17.267540016135861</v>
      </c>
      <c r="C7">
        <v>29.006372666009518</v>
      </c>
      <c r="D7">
        <v>19.956614148799648</v>
      </c>
      <c r="E7">
        <v>50.293423284548027</v>
      </c>
      <c r="F7">
        <v>45.855506816294465</v>
      </c>
      <c r="G7">
        <v>162.3794569317875</v>
      </c>
    </row>
    <row r="8" spans="1:7" x14ac:dyDescent="0.3">
      <c r="A8" s="3" t="s">
        <v>160</v>
      </c>
      <c r="B8">
        <v>103.47201582550784</v>
      </c>
      <c r="C8">
        <v>93.7815764960568</v>
      </c>
      <c r="D8">
        <v>76.048215046009332</v>
      </c>
      <c r="E8">
        <v>144.03534685759513</v>
      </c>
      <c r="F8">
        <v>137.47775297678911</v>
      </c>
      <c r="G8">
        <v>554.81490720195825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5A16-0557-43D6-BF39-C58349194836}">
  <dimension ref="A1:F9"/>
  <sheetViews>
    <sheetView showGridLines="0" zoomScale="126" zoomScaleNormal="126" workbookViewId="0">
      <selection activeCell="F1" sqref="F1"/>
    </sheetView>
  </sheetViews>
  <sheetFormatPr defaultRowHeight="14.4" x14ac:dyDescent="0.3"/>
  <cols>
    <col min="1" max="1" width="12.5546875" bestFit="1" customWidth="1"/>
    <col min="2" max="2" width="21.33203125" bestFit="1" customWidth="1"/>
    <col min="3" max="3" width="19.77734375" bestFit="1" customWidth="1"/>
  </cols>
  <sheetData>
    <row r="1" spans="1:6" ht="18" x14ac:dyDescent="0.35">
      <c r="F1" s="4" t="s">
        <v>171</v>
      </c>
    </row>
    <row r="3" spans="1:6" x14ac:dyDescent="0.3">
      <c r="A3" s="2" t="s">
        <v>159</v>
      </c>
      <c r="B3" t="s">
        <v>165</v>
      </c>
      <c r="C3" t="s">
        <v>166</v>
      </c>
    </row>
    <row r="4" spans="1:6" x14ac:dyDescent="0.3">
      <c r="A4" s="3" t="s">
        <v>39</v>
      </c>
      <c r="B4">
        <v>1458</v>
      </c>
      <c r="C4">
        <v>16.777777777777779</v>
      </c>
    </row>
    <row r="5" spans="1:6" x14ac:dyDescent="0.3">
      <c r="A5" s="3" t="s">
        <v>61</v>
      </c>
      <c r="B5">
        <v>1022</v>
      </c>
      <c r="C5">
        <v>16.227272727272727</v>
      </c>
    </row>
    <row r="6" spans="1:6" x14ac:dyDescent="0.3">
      <c r="A6" s="3" t="s">
        <v>28</v>
      </c>
      <c r="B6">
        <v>632</v>
      </c>
      <c r="C6">
        <v>14.333333333333334</v>
      </c>
    </row>
    <row r="7" spans="1:6" x14ac:dyDescent="0.3">
      <c r="A7" s="3" t="s">
        <v>52</v>
      </c>
      <c r="B7">
        <v>842</v>
      </c>
      <c r="C7">
        <v>17</v>
      </c>
    </row>
    <row r="8" spans="1:6" x14ac:dyDescent="0.3">
      <c r="A8" s="3" t="s">
        <v>44</v>
      </c>
      <c r="B8">
        <v>968</v>
      </c>
      <c r="C8">
        <v>14.722222222222221</v>
      </c>
    </row>
    <row r="9" spans="1:6" x14ac:dyDescent="0.3">
      <c r="A9" s="3" t="s">
        <v>160</v>
      </c>
      <c r="B9">
        <v>4922</v>
      </c>
      <c r="C9">
        <v>15.96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18B3-55F2-49E0-97E0-9D8FE2E08E1F}">
  <dimension ref="A2:G7"/>
  <sheetViews>
    <sheetView showGridLines="0" zoomScale="131" zoomScaleNormal="131" workbookViewId="0">
      <selection activeCell="G2" sqref="G2"/>
    </sheetView>
  </sheetViews>
  <sheetFormatPr defaultRowHeight="14.4" x14ac:dyDescent="0.3"/>
  <cols>
    <col min="1" max="1" width="12.5546875" bestFit="1" customWidth="1"/>
    <col min="2" max="2" width="12.109375" bestFit="1" customWidth="1"/>
  </cols>
  <sheetData>
    <row r="2" spans="1:7" ht="18" x14ac:dyDescent="0.35">
      <c r="G2" s="4" t="s">
        <v>172</v>
      </c>
    </row>
    <row r="3" spans="1:7" x14ac:dyDescent="0.3">
      <c r="A3" s="2" t="s">
        <v>159</v>
      </c>
      <c r="B3" t="s">
        <v>167</v>
      </c>
    </row>
    <row r="4" spans="1:7" x14ac:dyDescent="0.3">
      <c r="A4" s="3" t="s">
        <v>57</v>
      </c>
      <c r="B4">
        <v>160244.3310839824</v>
      </c>
    </row>
    <row r="5" spans="1:7" x14ac:dyDescent="0.3">
      <c r="A5" s="3" t="s">
        <v>24</v>
      </c>
      <c r="B5">
        <v>172606.95509456517</v>
      </c>
    </row>
    <row r="6" spans="1:7" x14ac:dyDescent="0.3">
      <c r="A6" s="3" t="s">
        <v>33</v>
      </c>
      <c r="B6">
        <v>239472.04832811165</v>
      </c>
    </row>
    <row r="7" spans="1:7" x14ac:dyDescent="0.3">
      <c r="A7" s="3" t="s">
        <v>160</v>
      </c>
      <c r="B7">
        <v>572323.33450665919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25A0-A77A-484B-A549-6BF0672B1B28}">
  <dimension ref="A1:AC101"/>
  <sheetViews>
    <sheetView workbookViewId="0">
      <selection activeCell="G12" sqref="G12"/>
    </sheetView>
  </sheetViews>
  <sheetFormatPr defaultRowHeight="14.4" x14ac:dyDescent="0.3"/>
  <cols>
    <col min="3" max="3" width="13.77734375" customWidth="1"/>
    <col min="4" max="4" width="9.77734375" customWidth="1"/>
    <col min="5" max="5" width="21.77734375" customWidth="1"/>
    <col min="6" max="6" width="16.88671875" customWidth="1"/>
    <col min="7" max="7" width="20.77734375" customWidth="1"/>
    <col min="11" max="11" width="12.44140625" customWidth="1"/>
    <col min="12" max="12" width="13.88671875" customWidth="1"/>
    <col min="13" max="13" width="12.5546875" customWidth="1"/>
    <col min="14" max="14" width="12.77734375" customWidth="1"/>
    <col min="17" max="17" width="16.6640625" customWidth="1"/>
    <col min="18" max="18" width="20.6640625" customWidth="1"/>
    <col min="19" max="19" width="17.77734375" customWidth="1"/>
    <col min="21" max="21" width="11.88671875" customWidth="1"/>
    <col min="26" max="27" width="17.6640625" customWidth="1"/>
    <col min="28" max="28" width="19.44140625" customWidth="1"/>
    <col min="29" max="29" width="12.77734375"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154</v>
      </c>
      <c r="Z1" t="s">
        <v>155</v>
      </c>
      <c r="AA1" t="s">
        <v>156</v>
      </c>
      <c r="AB1" t="s">
        <v>157</v>
      </c>
      <c r="AC1" t="s">
        <v>158</v>
      </c>
    </row>
    <row r="2" spans="1:29"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f>F2 - (M2 + S2)</f>
        <v>8612.7603410124411</v>
      </c>
      <c r="Z2">
        <f>IF(E2&lt;&gt;0, F2 / E2, 0)</f>
        <v>10.800494753606458</v>
      </c>
      <c r="AA2">
        <f>IF(E2&lt;&gt;0, (M2 + S2) / E2, 0)</f>
        <v>6.1392084014886654E-2</v>
      </c>
      <c r="AB2" s="1">
        <f>IF((E2 + H2)&lt;&gt;0, H2 / (E2 + H2), 0)</f>
        <v>6.7441860465116285E-2</v>
      </c>
      <c r="AC2">
        <f>S2 * U2</f>
        <v>10.478244158934437</v>
      </c>
    </row>
    <row r="3" spans="1:29"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f t="shared" ref="Y3:Y66" si="0">F3 - (M3 + S3)</f>
        <v>7417.5667217206783</v>
      </c>
      <c r="Z3">
        <f t="shared" ref="Z3:Z66" si="1">IF(E3&lt;&gt;0, F3 / E3, 0)</f>
        <v>10.137092480225325</v>
      </c>
      <c r="AA3">
        <f t="shared" ref="AA3:AA66" si="2">IF(E3&lt;&gt;0, (M3 + S3) / E3, 0)</f>
        <v>5.8876825713534392E-2</v>
      </c>
      <c r="AB3" s="1">
        <f t="shared" ref="AB3:AB66" si="3">IF((E3 + H3)&lt;&gt;0, H3 / (E3 + H3), 0)</f>
        <v>6.7173637515842835E-2</v>
      </c>
      <c r="AC3">
        <f t="shared" ref="AC3:AC66" si="4">S3 * U3</f>
        <v>163.1780833287971</v>
      </c>
    </row>
    <row r="4" spans="1:29"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f t="shared" si="0"/>
        <v>9539.0071272587138</v>
      </c>
      <c r="Z4">
        <f t="shared" si="1"/>
        <v>1197.2187032335912</v>
      </c>
      <c r="AA4">
        <f t="shared" si="2"/>
        <v>4.8428123262520435</v>
      </c>
      <c r="AB4" s="1">
        <f t="shared" si="3"/>
        <v>0.1111111111111111</v>
      </c>
      <c r="AC4">
        <f t="shared" si="4"/>
        <v>140.56931492459347</v>
      </c>
    </row>
    <row r="5" spans="1:29"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f t="shared" si="0"/>
        <v>7729.4821157245615</v>
      </c>
      <c r="Z5">
        <f t="shared" si="1"/>
        <v>93.576342478135302</v>
      </c>
      <c r="AA5">
        <f t="shared" si="2"/>
        <v>0.45005192723696885</v>
      </c>
      <c r="AB5" s="1">
        <f t="shared" si="3"/>
        <v>0.21698113207547171</v>
      </c>
      <c r="AC5">
        <f t="shared" si="4"/>
        <v>169.09812961359617</v>
      </c>
    </row>
    <row r="6" spans="1:29"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f t="shared" si="0"/>
        <v>2590.5494430528565</v>
      </c>
      <c r="Z6">
        <f t="shared" si="1"/>
        <v>3.0843916780338003</v>
      </c>
      <c r="AA6">
        <f t="shared" si="2"/>
        <v>0.11016728876530822</v>
      </c>
      <c r="AB6" s="1">
        <f t="shared" si="3"/>
        <v>5.7077625570776253E-3</v>
      </c>
      <c r="AC6">
        <f t="shared" si="4"/>
        <v>289.59828394564249</v>
      </c>
    </row>
    <row r="7" spans="1:29"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f t="shared" si="0"/>
        <v>2767.1381715539355</v>
      </c>
      <c r="Z7">
        <f t="shared" si="1"/>
        <v>19.240467659698979</v>
      </c>
      <c r="AA7">
        <f t="shared" si="2"/>
        <v>0.41639846545451759</v>
      </c>
      <c r="AB7" s="1">
        <f t="shared" si="3"/>
        <v>0.379746835443038</v>
      </c>
      <c r="AC7">
        <f t="shared" si="4"/>
        <v>157.7650205439773</v>
      </c>
    </row>
    <row r="8" spans="1:29"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f t="shared" si="0"/>
        <v>7818.5107276591916</v>
      </c>
      <c r="Z8">
        <f t="shared" si="1"/>
        <v>120.3611778389497</v>
      </c>
      <c r="AA8">
        <f t="shared" si="2"/>
        <v>7.6397413423677854E-2</v>
      </c>
      <c r="AB8" s="1">
        <f t="shared" si="3"/>
        <v>0.14473684210526316</v>
      </c>
      <c r="AC8">
        <f t="shared" si="4"/>
        <v>1.0860566539728307</v>
      </c>
    </row>
    <row r="9" spans="1:29"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f t="shared" si="0"/>
        <v>8394.2893657018139</v>
      </c>
      <c r="Z9">
        <f t="shared" si="1"/>
        <v>19.943905664530117</v>
      </c>
      <c r="AA9">
        <f t="shared" si="2"/>
        <v>0.23900105020661239</v>
      </c>
      <c r="AB9" s="1">
        <f t="shared" si="3"/>
        <v>0.1791907514450867</v>
      </c>
      <c r="AC9">
        <f t="shared" si="4"/>
        <v>39.605135310762321</v>
      </c>
    </row>
    <row r="10" spans="1:29"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f t="shared" si="0"/>
        <v>7502.5354496344708</v>
      </c>
      <c r="Z10">
        <f t="shared" si="1"/>
        <v>50.115754737540797</v>
      </c>
      <c r="AA10">
        <f t="shared" si="2"/>
        <v>9.8851739977657463E-2</v>
      </c>
      <c r="AB10" s="1">
        <f t="shared" si="3"/>
        <v>3.2258064516129031E-2</v>
      </c>
      <c r="AC10">
        <f t="shared" si="4"/>
        <v>30.954835065045344</v>
      </c>
    </row>
    <row r="11" spans="1:29"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f t="shared" si="0"/>
        <v>4916.0217406595502</v>
      </c>
      <c r="Z11">
        <f t="shared" si="1"/>
        <v>5.0725979465158675</v>
      </c>
      <c r="AA11">
        <f t="shared" si="2"/>
        <v>5.6249231557142565E-2</v>
      </c>
      <c r="AB11" s="1">
        <f t="shared" si="3"/>
        <v>1.4084507042253521E-2</v>
      </c>
      <c r="AC11">
        <f t="shared" si="4"/>
        <v>184.37848961270231</v>
      </c>
    </row>
    <row r="12" spans="1:29"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f t="shared" si="0"/>
        <v>2225.7652380953505</v>
      </c>
      <c r="Z12">
        <f t="shared" si="1"/>
        <v>2.3403271105340764</v>
      </c>
      <c r="AA12">
        <f t="shared" si="2"/>
        <v>0.10562305622147541</v>
      </c>
      <c r="AB12" s="1">
        <f t="shared" si="3"/>
        <v>4.8710601719197708E-2</v>
      </c>
      <c r="AC12">
        <f t="shared" si="4"/>
        <v>166.73304093339505</v>
      </c>
    </row>
    <row r="13" spans="1:29"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f t="shared" si="0"/>
        <v>6067.8278093704703</v>
      </c>
      <c r="Z13">
        <f t="shared" si="1"/>
        <v>6.3541084537306771</v>
      </c>
      <c r="AA13">
        <f t="shared" si="2"/>
        <v>3.3454485636437777E-2</v>
      </c>
      <c r="AB13" s="1">
        <f t="shared" si="3"/>
        <v>4.5725646123260438E-2</v>
      </c>
      <c r="AC13">
        <f t="shared" si="4"/>
        <v>0.58412539780347006</v>
      </c>
    </row>
    <row r="14" spans="1:29"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f t="shared" si="0"/>
        <v>2840.0948857978315</v>
      </c>
      <c r="Z14">
        <f t="shared" si="1"/>
        <v>8.5528019226828569</v>
      </c>
      <c r="AA14">
        <f t="shared" si="2"/>
        <v>0.10013857209407299</v>
      </c>
      <c r="AB14" s="1">
        <f t="shared" si="3"/>
        <v>0.22935779816513763</v>
      </c>
      <c r="AC14">
        <f t="shared" si="4"/>
        <v>69.854500954589795</v>
      </c>
    </row>
    <row r="15" spans="1:29"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f t="shared" si="0"/>
        <v>3945.3720830665784</v>
      </c>
      <c r="Z15">
        <f t="shared" si="1"/>
        <v>16.276057896537591</v>
      </c>
      <c r="AA15">
        <f t="shared" si="2"/>
        <v>0.43119009305735551</v>
      </c>
      <c r="AB15" s="1">
        <f t="shared" si="3"/>
        <v>0.24316109422492402</v>
      </c>
      <c r="AC15">
        <f t="shared" si="4"/>
        <v>159.56644258707988</v>
      </c>
    </row>
    <row r="16" spans="1:29"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f t="shared" si="0"/>
        <v>8645.739719650488</v>
      </c>
      <c r="Z16">
        <f t="shared" si="1"/>
        <v>15.39781303642313</v>
      </c>
      <c r="AA16">
        <f t="shared" si="2"/>
        <v>1.3934531706961404E-2</v>
      </c>
      <c r="AB16" s="1">
        <f t="shared" si="3"/>
        <v>8.7662337662337664E-2</v>
      </c>
      <c r="AC16">
        <f t="shared" si="4"/>
        <v>0.58309835455313686</v>
      </c>
    </row>
    <row r="17" spans="1:29"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f t="shared" si="0"/>
        <v>5342.5434639229206</v>
      </c>
      <c r="Z17">
        <f t="shared" si="1"/>
        <v>11.603596557351109</v>
      </c>
      <c r="AA17">
        <f t="shared" si="2"/>
        <v>0.21224588800586247</v>
      </c>
      <c r="AB17" s="1">
        <f t="shared" si="3"/>
        <v>1.8828451882845189E-2</v>
      </c>
      <c r="AC17">
        <f t="shared" si="4"/>
        <v>219.92198993302506</v>
      </c>
    </row>
    <row r="18" spans="1:29"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f t="shared" si="0"/>
        <v>6372.5003010927248</v>
      </c>
      <c r="Z18">
        <f t="shared" si="1"/>
        <v>23.049278457772427</v>
      </c>
      <c r="AA18">
        <f t="shared" si="2"/>
        <v>0.29034881101269822</v>
      </c>
      <c r="AB18" s="1">
        <f t="shared" si="3"/>
        <v>7.0921985815602835E-3</v>
      </c>
      <c r="AC18">
        <f t="shared" si="4"/>
        <v>78.075036361011485</v>
      </c>
    </row>
    <row r="19" spans="1:29"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f t="shared" si="0"/>
        <v>2578.1313355186726</v>
      </c>
      <c r="Z19">
        <f t="shared" si="1"/>
        <v>20.868225673375079</v>
      </c>
      <c r="AA19">
        <f t="shared" si="2"/>
        <v>0.40686586767133048</v>
      </c>
      <c r="AB19" s="1">
        <f t="shared" si="3"/>
        <v>0.26315789473684209</v>
      </c>
      <c r="AC19">
        <f t="shared" si="4"/>
        <v>4.8643169854369432</v>
      </c>
    </row>
    <row r="20" spans="1:29"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f t="shared" si="0"/>
        <v>9333.226299507216</v>
      </c>
      <c r="Z20">
        <f t="shared" si="1"/>
        <v>15.104312104961567</v>
      </c>
      <c r="AA20">
        <f t="shared" si="2"/>
        <v>5.0721299304765481E-2</v>
      </c>
      <c r="AB20" s="1">
        <f t="shared" si="3"/>
        <v>1.5873015873015872E-2</v>
      </c>
      <c r="AC20">
        <f t="shared" si="4"/>
        <v>60.503362682826101</v>
      </c>
    </row>
    <row r="21" spans="1:29"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f t="shared" si="0"/>
        <v>2466.379628520378</v>
      </c>
      <c r="Z21">
        <f t="shared" si="1"/>
        <v>13.655056604231069</v>
      </c>
      <c r="AA21">
        <f t="shared" si="2"/>
        <v>0.46586072979054577</v>
      </c>
      <c r="AB21" s="1">
        <f t="shared" si="3"/>
        <v>0.20425531914893616</v>
      </c>
      <c r="AC21">
        <f t="shared" si="4"/>
        <v>300.37026614535046</v>
      </c>
    </row>
    <row r="22" spans="1:29"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f t="shared" si="0"/>
        <v>8053.4631025917743</v>
      </c>
      <c r="Z22">
        <f t="shared" si="1"/>
        <v>25.400086552659968</v>
      </c>
      <c r="AA22">
        <f t="shared" si="2"/>
        <v>0.23301435706067325</v>
      </c>
      <c r="AB22" s="1">
        <f t="shared" si="3"/>
        <v>7.7809798270893377E-2</v>
      </c>
      <c r="AC22">
        <f t="shared" si="4"/>
        <v>277.94592756085046</v>
      </c>
    </row>
    <row r="23" spans="1:29"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f t="shared" si="0"/>
        <v>7019.2790836340509</v>
      </c>
      <c r="Z23">
        <f t="shared" si="1"/>
        <v>11.792100992275259</v>
      </c>
      <c r="AA23">
        <f t="shared" si="2"/>
        <v>0.11276807441494041</v>
      </c>
      <c r="AB23" s="1">
        <f t="shared" si="3"/>
        <v>0.10298507462686567</v>
      </c>
      <c r="AC23">
        <f t="shared" si="4"/>
        <v>1.1487517517645536</v>
      </c>
    </row>
    <row r="24" spans="1:29"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f t="shared" si="0"/>
        <v>2331.1193780222698</v>
      </c>
      <c r="Z24">
        <f t="shared" si="1"/>
        <v>2.7045337856970253</v>
      </c>
      <c r="AA24">
        <f t="shared" si="2"/>
        <v>6.7520914631108986E-2</v>
      </c>
      <c r="AB24" s="1">
        <f t="shared" si="3"/>
        <v>7.4345549738219899E-2</v>
      </c>
      <c r="AC24">
        <f t="shared" si="4"/>
        <v>129.87690238585589</v>
      </c>
    </row>
    <row r="25" spans="1:29"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f t="shared" si="0"/>
        <v>8756.8327561676306</v>
      </c>
      <c r="Z25">
        <f t="shared" si="1"/>
        <v>22.655671537113761</v>
      </c>
      <c r="AA25">
        <f t="shared" si="2"/>
        <v>0.25967983336022848</v>
      </c>
      <c r="AB25" s="1">
        <f t="shared" si="3"/>
        <v>0.17684210526315788</v>
      </c>
      <c r="AC25">
        <f t="shared" si="4"/>
        <v>132.36331360733047</v>
      </c>
    </row>
    <row r="26" spans="1:29"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f t="shared" si="0"/>
        <v>8998.9542095476809</v>
      </c>
      <c r="Z26">
        <f t="shared" si="1"/>
        <v>43.297023258085595</v>
      </c>
      <c r="AA26">
        <f t="shared" si="2"/>
        <v>0.23982608321631177</v>
      </c>
      <c r="AB26" s="1">
        <f t="shared" si="3"/>
        <v>1.8779342723004695E-2</v>
      </c>
      <c r="AC26">
        <f t="shared" si="4"/>
        <v>149.06382001204159</v>
      </c>
    </row>
    <row r="27" spans="1:29"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f t="shared" si="0"/>
        <v>2094.2655975509529</v>
      </c>
      <c r="Z27">
        <f t="shared" si="1"/>
        <v>15.315331368666548</v>
      </c>
      <c r="AA27">
        <f t="shared" si="2"/>
        <v>0.56698209013871137</v>
      </c>
      <c r="AB27" s="1">
        <f t="shared" si="3"/>
        <v>0.36607142857142855</v>
      </c>
      <c r="AC27">
        <f t="shared" si="4"/>
        <v>297.24871446490442</v>
      </c>
    </row>
    <row r="28" spans="1:29"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f t="shared" si="0"/>
        <v>3694.0135475157699</v>
      </c>
      <c r="Z28">
        <f t="shared" si="1"/>
        <v>10.528309705082238</v>
      </c>
      <c r="AA28">
        <f t="shared" si="2"/>
        <v>6.3682091723116854E-2</v>
      </c>
      <c r="AB28" s="1">
        <f t="shared" si="3"/>
        <v>0.14320388349514562</v>
      </c>
      <c r="AC28">
        <f t="shared" si="4"/>
        <v>33.850261763900257</v>
      </c>
    </row>
    <row r="29" spans="1:29"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f t="shared" si="0"/>
        <v>2668.52222755294</v>
      </c>
      <c r="Z29">
        <f t="shared" si="1"/>
        <v>7.6319807487953986</v>
      </c>
      <c r="AA29">
        <f t="shared" si="2"/>
        <v>5.0951693247273215E-2</v>
      </c>
      <c r="AB29" s="1">
        <f t="shared" si="3"/>
        <v>0.11779448621553884</v>
      </c>
      <c r="AC29">
        <f t="shared" si="4"/>
        <v>30.159925041503755</v>
      </c>
    </row>
    <row r="30" spans="1:29"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f t="shared" si="0"/>
        <v>6047.9970927652284</v>
      </c>
      <c r="Z30">
        <f t="shared" si="1"/>
        <v>15.526204606812156</v>
      </c>
      <c r="AA30">
        <f t="shared" si="2"/>
        <v>0.17595817847401199</v>
      </c>
      <c r="AB30" s="1">
        <f t="shared" si="3"/>
        <v>0.10859728506787331</v>
      </c>
      <c r="AC30">
        <f t="shared" si="4"/>
        <v>48.479938930237033</v>
      </c>
    </row>
    <row r="31" spans="1:29"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f t="shared" si="0"/>
        <v>8271.5093458857082</v>
      </c>
      <c r="Z31">
        <f t="shared" si="1"/>
        <v>32.881040294929527</v>
      </c>
      <c r="AA31">
        <f t="shared" si="2"/>
        <v>0.1873274653417499</v>
      </c>
      <c r="AB31" s="1">
        <f t="shared" si="3"/>
        <v>0.15100671140939598</v>
      </c>
      <c r="AC31">
        <f t="shared" si="4"/>
        <v>152.38165902582483</v>
      </c>
    </row>
    <row r="32" spans="1:29"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f t="shared" si="0"/>
        <v>2705.7529451506525</v>
      </c>
      <c r="Z32">
        <f t="shared" si="1"/>
        <v>8.4597625898045248</v>
      </c>
      <c r="AA32">
        <f t="shared" si="2"/>
        <v>0.1852887514233251</v>
      </c>
      <c r="AB32" s="1">
        <f t="shared" si="3"/>
        <v>0.15503875968992248</v>
      </c>
      <c r="AC32">
        <f t="shared" si="4"/>
        <v>49.848052699900741</v>
      </c>
    </row>
    <row r="33" spans="1:29"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f t="shared" si="0"/>
        <v>9592.2042960928102</v>
      </c>
      <c r="Z33">
        <f t="shared" si="1"/>
        <v>57.471042278091609</v>
      </c>
      <c r="AA33">
        <f t="shared" si="2"/>
        <v>0.37458813468202024</v>
      </c>
      <c r="AB33" s="1">
        <f t="shared" si="3"/>
        <v>3.4482758620689655E-2</v>
      </c>
      <c r="AC33">
        <f t="shared" si="4"/>
        <v>180.09067478349203</v>
      </c>
    </row>
    <row r="34" spans="1:29"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f t="shared" si="0"/>
        <v>9535.2589152728215</v>
      </c>
      <c r="Z34">
        <f t="shared" si="1"/>
        <v>12.255506385823059</v>
      </c>
      <c r="AA34">
        <f t="shared" si="2"/>
        <v>4.6468082016630316E-2</v>
      </c>
      <c r="AB34" s="1">
        <f t="shared" si="3"/>
        <v>0.10229885057471265</v>
      </c>
      <c r="AC34">
        <f t="shared" si="4"/>
        <v>57.782613554882602</v>
      </c>
    </row>
    <row r="35" spans="1:29"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f t="shared" si="0"/>
        <v>5121.2866523916973</v>
      </c>
      <c r="Z35">
        <f t="shared" si="1"/>
        <v>8.3603869324805675</v>
      </c>
      <c r="AA35">
        <f t="shared" si="2"/>
        <v>4.660989937716354E-2</v>
      </c>
      <c r="AB35" s="1">
        <f t="shared" si="3"/>
        <v>6.4516129032258064E-3</v>
      </c>
      <c r="AC35">
        <f t="shared" si="4"/>
        <v>84.466084373057114</v>
      </c>
    </row>
    <row r="36" spans="1:29"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f t="shared" si="0"/>
        <v>9049.9371351218688</v>
      </c>
      <c r="Z36">
        <f t="shared" si="1"/>
        <v>15.052675906159003</v>
      </c>
      <c r="AA36">
        <f t="shared" si="2"/>
        <v>1.9557741504736558E-2</v>
      </c>
      <c r="AB36" s="1">
        <f t="shared" si="3"/>
        <v>1.658374792703151E-3</v>
      </c>
      <c r="AC36">
        <f t="shared" si="4"/>
        <v>6.953761834928879</v>
      </c>
    </row>
    <row r="37" spans="1:29"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f t="shared" si="0"/>
        <v>6478.0363677673886</v>
      </c>
      <c r="Z37">
        <f t="shared" si="1"/>
        <v>14.568662237867393</v>
      </c>
      <c r="AA37">
        <f t="shared" si="2"/>
        <v>0.14096431410928975</v>
      </c>
      <c r="AB37" s="1">
        <f t="shared" si="3"/>
        <v>8.5539714867617106E-2</v>
      </c>
      <c r="AC37">
        <f t="shared" si="4"/>
        <v>31.389528216394353</v>
      </c>
    </row>
    <row r="38" spans="1:29"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f t="shared" si="0"/>
        <v>7525.7631423444082</v>
      </c>
      <c r="Z38">
        <f t="shared" si="1"/>
        <v>7.8643846914317024</v>
      </c>
      <c r="AA38">
        <f t="shared" si="2"/>
        <v>4.9469694189326251E-2</v>
      </c>
      <c r="AB38" s="1">
        <f t="shared" si="3"/>
        <v>1.834862385321101E-2</v>
      </c>
      <c r="AC38">
        <f t="shared" si="4"/>
        <v>173.2711264070073</v>
      </c>
    </row>
    <row r="39" spans="1:29"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f t="shared" si="0"/>
        <v>2402.4639977313545</v>
      </c>
      <c r="Z39">
        <f t="shared" si="1"/>
        <v>2.5320248499169473</v>
      </c>
      <c r="AA39">
        <f t="shared" si="2"/>
        <v>3.7254343446174176E-2</v>
      </c>
      <c r="AB39" s="1">
        <f t="shared" si="3"/>
        <v>2.5303643724696356E-2</v>
      </c>
      <c r="AC39">
        <f t="shared" si="4"/>
        <v>89.645847961718673</v>
      </c>
    </row>
    <row r="40" spans="1:29"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f t="shared" si="0"/>
        <v>9677.1514151356514</v>
      </c>
      <c r="Z40">
        <f t="shared" si="1"/>
        <v>13.74796885137366</v>
      </c>
      <c r="AA40">
        <f t="shared" si="2"/>
        <v>2.1512943379826285E-2</v>
      </c>
      <c r="AB40" s="1">
        <f t="shared" si="3"/>
        <v>8.9147286821705432E-2</v>
      </c>
      <c r="AC40">
        <f t="shared" si="4"/>
        <v>3.6374539435065238</v>
      </c>
    </row>
    <row r="41" spans="1:29"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f t="shared" si="0"/>
        <v>1897.897351893148</v>
      </c>
      <c r="Z41">
        <f t="shared" si="1"/>
        <v>10.866282176708863</v>
      </c>
      <c r="AA41">
        <f t="shared" si="2"/>
        <v>8.2774495497795572E-2</v>
      </c>
      <c r="AB41" s="1">
        <f t="shared" si="3"/>
        <v>0.30708661417322836</v>
      </c>
      <c r="AC41">
        <f t="shared" si="4"/>
        <v>13.076182061138923</v>
      </c>
    </row>
    <row r="42" spans="1:29"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f t="shared" si="0"/>
        <v>5629.5503482123058</v>
      </c>
      <c r="Z42">
        <f t="shared" si="1"/>
        <v>6.1360764742296459</v>
      </c>
      <c r="AA42">
        <f t="shared" si="2"/>
        <v>0.10226045256586697</v>
      </c>
      <c r="AB42" s="1">
        <f t="shared" si="3"/>
        <v>8.797653958944282E-2</v>
      </c>
      <c r="AC42">
        <f t="shared" si="4"/>
        <v>371.5236003594465</v>
      </c>
    </row>
    <row r="43" spans="1:29"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f t="shared" si="0"/>
        <v>5420.0999307184302</v>
      </c>
      <c r="Z43">
        <f t="shared" si="1"/>
        <v>9.9302252859909519</v>
      </c>
      <c r="AA43">
        <f t="shared" si="2"/>
        <v>0.18184411563406319</v>
      </c>
      <c r="AB43" s="1">
        <f t="shared" si="3"/>
        <v>0.1032258064516129</v>
      </c>
      <c r="AC43">
        <f t="shared" si="4"/>
        <v>4.318758203156313</v>
      </c>
    </row>
    <row r="44" spans="1:29"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f t="shared" si="0"/>
        <v>1735.6603568903367</v>
      </c>
      <c r="Z44">
        <f t="shared" si="1"/>
        <v>11.868447908753291</v>
      </c>
      <c r="AA44">
        <f t="shared" si="2"/>
        <v>0.67063915462208579</v>
      </c>
      <c r="AB44" s="1">
        <f t="shared" si="3"/>
        <v>0.12429378531073447</v>
      </c>
      <c r="AC44">
        <f t="shared" si="4"/>
        <v>476.25692678775329</v>
      </c>
    </row>
    <row r="45" spans="1:29"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f t="shared" si="0"/>
        <v>5707.4542118932995</v>
      </c>
      <c r="Z45">
        <f t="shared" si="1"/>
        <v>9.5943571891622419</v>
      </c>
      <c r="AA45">
        <f t="shared" si="2"/>
        <v>5.0119376631640219E-2</v>
      </c>
      <c r="AB45" s="1">
        <f t="shared" si="3"/>
        <v>5.6782334384858045E-2</v>
      </c>
      <c r="AC45">
        <f t="shared" si="4"/>
        <v>9.7831886360041249</v>
      </c>
    </row>
    <row r="46" spans="1:29"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f t="shared" si="0"/>
        <v>7122.1544931572453</v>
      </c>
      <c r="Z46">
        <f t="shared" si="1"/>
        <v>7.7826834052617082</v>
      </c>
      <c r="AA46">
        <f t="shared" si="2"/>
        <v>3.278733000899281E-2</v>
      </c>
      <c r="AB46" s="1">
        <f t="shared" si="3"/>
        <v>1.3948497854077254E-2</v>
      </c>
      <c r="AC46">
        <f t="shared" si="4"/>
        <v>66.819389909387581</v>
      </c>
    </row>
    <row r="47" spans="1:29"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f t="shared" si="0"/>
        <v>5196.4291080618168</v>
      </c>
      <c r="Z47">
        <f t="shared" si="1"/>
        <v>219.49820031293834</v>
      </c>
      <c r="AA47">
        <f t="shared" si="2"/>
        <v>2.9803208103626457</v>
      </c>
      <c r="AB47" s="1">
        <f t="shared" si="3"/>
        <v>0.79487179487179482</v>
      </c>
      <c r="AC47">
        <f t="shared" si="4"/>
        <v>213.50017391802879</v>
      </c>
    </row>
    <row r="48" spans="1:29"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f t="shared" si="0"/>
        <v>2475.3740515854547</v>
      </c>
      <c r="Z48">
        <f t="shared" si="1"/>
        <v>2.9764462871171014</v>
      </c>
      <c r="AA48">
        <f t="shared" si="2"/>
        <v>9.4753561173615469E-2</v>
      </c>
      <c r="AB48" s="1">
        <f t="shared" si="3"/>
        <v>9.6740273396424811E-2</v>
      </c>
      <c r="AC48">
        <f t="shared" si="4"/>
        <v>282.11915696566831</v>
      </c>
    </row>
    <row r="49" spans="1:29"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f t="shared" si="0"/>
        <v>7060.7825062669363</v>
      </c>
      <c r="Z49">
        <f t="shared" si="1"/>
        <v>7.7906310438837147</v>
      </c>
      <c r="AA49">
        <f t="shared" si="2"/>
        <v>3.1529388645322606E-2</v>
      </c>
      <c r="AB49" s="1">
        <f t="shared" si="3"/>
        <v>4.3763676148796497E-3</v>
      </c>
      <c r="AC49">
        <f t="shared" si="4"/>
        <v>7.5022444171031486</v>
      </c>
    </row>
    <row r="50" spans="1:29"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f t="shared" si="0"/>
        <v>7366.8488078481605</v>
      </c>
      <c r="Z50">
        <f t="shared" si="1"/>
        <v>255.07141395128207</v>
      </c>
      <c r="AA50">
        <f t="shared" si="2"/>
        <v>1.0421447151386147</v>
      </c>
      <c r="AB50" s="1">
        <f t="shared" si="3"/>
        <v>0.50847457627118642</v>
      </c>
      <c r="AC50">
        <f t="shared" si="4"/>
        <v>39.271168020504099</v>
      </c>
    </row>
    <row r="51" spans="1:29"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f t="shared" si="0"/>
        <v>7984.95977004212</v>
      </c>
      <c r="Z51">
        <f t="shared" si="1"/>
        <v>80.824375823424248</v>
      </c>
      <c r="AA51">
        <f t="shared" si="2"/>
        <v>0.16821653006949605</v>
      </c>
      <c r="AB51" s="1">
        <f t="shared" si="3"/>
        <v>0.49489795918367346</v>
      </c>
      <c r="AC51">
        <f t="shared" si="4"/>
        <v>39.979094744456376</v>
      </c>
    </row>
    <row r="52" spans="1:29"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f t="shared" si="0"/>
        <v>5859.4587708292793</v>
      </c>
      <c r="Z52">
        <f t="shared" si="1"/>
        <v>9.3378916108513259</v>
      </c>
      <c r="AA52">
        <f t="shared" si="2"/>
        <v>8.1242683790853851E-2</v>
      </c>
      <c r="AB52" s="1">
        <f t="shared" si="3"/>
        <v>4.6686746987951805E-2</v>
      </c>
      <c r="AC52">
        <f t="shared" si="4"/>
        <v>214.81599453409657</v>
      </c>
    </row>
    <row r="53" spans="1:29"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f t="shared" si="0"/>
        <v>9847.4921290771726</v>
      </c>
      <c r="Z53">
        <f t="shared" si="1"/>
        <v>64.067957519348639</v>
      </c>
      <c r="AA53">
        <f t="shared" si="2"/>
        <v>0.12320343443193221</v>
      </c>
      <c r="AB53" s="1">
        <f t="shared" si="3"/>
        <v>0.39370078740157483</v>
      </c>
      <c r="AC53">
        <f t="shared" si="4"/>
        <v>25.158759270755628</v>
      </c>
    </row>
    <row r="54" spans="1:29"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f t="shared" si="0"/>
        <v>9417.9647075837638</v>
      </c>
      <c r="Z54">
        <f t="shared" si="1"/>
        <v>11.507027571844061</v>
      </c>
      <c r="AA54">
        <f t="shared" si="2"/>
        <v>2.1704757717519618E-2</v>
      </c>
      <c r="AB54" s="1">
        <f t="shared" si="3"/>
        <v>7.2398190045248875E-2</v>
      </c>
      <c r="AC54">
        <f t="shared" si="4"/>
        <v>19.456377154870143</v>
      </c>
    </row>
    <row r="55" spans="1:29"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f t="shared" si="0"/>
        <v>8147.9772838680456</v>
      </c>
      <c r="Z55">
        <f t="shared" si="1"/>
        <v>34.017912518288512</v>
      </c>
      <c r="AA55">
        <f t="shared" si="2"/>
        <v>0.34858489899906525</v>
      </c>
      <c r="AB55" s="1">
        <f t="shared" si="3"/>
        <v>0.28402366863905326</v>
      </c>
      <c r="AC55">
        <f t="shared" si="4"/>
        <v>117.54409157924974</v>
      </c>
    </row>
    <row r="56" spans="1:29"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f t="shared" si="0"/>
        <v>6053.5303530937399</v>
      </c>
      <c r="Z56">
        <f t="shared" si="1"/>
        <v>9.7878158841492766</v>
      </c>
      <c r="AA56">
        <f t="shared" si="2"/>
        <v>5.5451972423006639E-2</v>
      </c>
      <c r="AB56" s="1">
        <f t="shared" si="3"/>
        <v>5.0381679389312976E-2</v>
      </c>
      <c r="AC56">
        <f t="shared" si="4"/>
        <v>74.824268796976313</v>
      </c>
    </row>
    <row r="57" spans="1:29"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f t="shared" si="0"/>
        <v>2890.3372600921625</v>
      </c>
      <c r="Z57">
        <f t="shared" si="1"/>
        <v>4.1735737094205563</v>
      </c>
      <c r="AA57">
        <f t="shared" si="2"/>
        <v>5.0410713568683888E-2</v>
      </c>
      <c r="AB57" s="1">
        <f t="shared" si="3"/>
        <v>0.12155388471177944</v>
      </c>
      <c r="AC57">
        <f t="shared" si="4"/>
        <v>137.93937116041866</v>
      </c>
    </row>
    <row r="58" spans="1:29"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f t="shared" si="0"/>
        <v>4752.4097700572256</v>
      </c>
      <c r="Z58">
        <f t="shared" si="1"/>
        <v>51.25828477789387</v>
      </c>
      <c r="AA58">
        <f t="shared" si="2"/>
        <v>0.15710445469789708</v>
      </c>
      <c r="AB58" s="1">
        <f t="shared" si="3"/>
        <v>0.21186440677966101</v>
      </c>
      <c r="AC58">
        <f t="shared" si="4"/>
        <v>15.066659557719529</v>
      </c>
    </row>
    <row r="59" spans="1:29"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f t="shared" si="0"/>
        <v>1528.92671886994</v>
      </c>
      <c r="Z59">
        <f t="shared" si="1"/>
        <v>7.0743035259577098</v>
      </c>
      <c r="AA59">
        <f t="shared" si="2"/>
        <v>0.33894353093594698</v>
      </c>
      <c r="AB59" s="1">
        <f t="shared" si="3"/>
        <v>2.1551724137931036E-2</v>
      </c>
      <c r="AC59">
        <f t="shared" si="4"/>
        <v>170.20648324645666</v>
      </c>
    </row>
    <row r="60" spans="1:29"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f t="shared" si="0"/>
        <v>1951.1639566776964</v>
      </c>
      <c r="Z60">
        <f t="shared" si="1"/>
        <v>2.2557475561797991</v>
      </c>
      <c r="AA60">
        <f t="shared" si="2"/>
        <v>7.8109211673441398E-2</v>
      </c>
      <c r="AB60" s="1">
        <f t="shared" si="3"/>
        <v>1.1037527593818985E-2</v>
      </c>
      <c r="AC60">
        <f t="shared" si="4"/>
        <v>112.55640267204107</v>
      </c>
    </row>
    <row r="61" spans="1:29"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f t="shared" si="0"/>
        <v>1052.424038172893</v>
      </c>
      <c r="Z61">
        <f t="shared" si="1"/>
        <v>2.1934267004406611</v>
      </c>
      <c r="AA61">
        <f t="shared" si="2"/>
        <v>1.8996869504932172E-2</v>
      </c>
      <c r="AB61" s="1">
        <f t="shared" si="3"/>
        <v>0.17123287671232876</v>
      </c>
      <c r="AC61">
        <f t="shared" si="4"/>
        <v>0.85000950012148779</v>
      </c>
    </row>
    <row r="62" spans="1:29"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f t="shared" si="0"/>
        <v>8772.4899236131914</v>
      </c>
      <c r="Z62">
        <f t="shared" si="1"/>
        <v>23.326537762069552</v>
      </c>
      <c r="AA62">
        <f t="shared" si="2"/>
        <v>0.24103796308746817</v>
      </c>
      <c r="AB62" s="1">
        <f t="shared" si="3"/>
        <v>9.7387173396674589E-2</v>
      </c>
      <c r="AC62">
        <f t="shared" si="4"/>
        <v>248.82675690163447</v>
      </c>
    </row>
    <row r="63" spans="1:29"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f t="shared" si="0"/>
        <v>6797.8566165048487</v>
      </c>
      <c r="Z63">
        <f t="shared" si="1"/>
        <v>58.851191033301284</v>
      </c>
      <c r="AA63">
        <f t="shared" si="2"/>
        <v>0.74985243069573371</v>
      </c>
      <c r="AB63" s="1">
        <f t="shared" si="3"/>
        <v>0.21476510067114093</v>
      </c>
      <c r="AC63">
        <f t="shared" si="4"/>
        <v>343.73038694528543</v>
      </c>
    </row>
    <row r="64" spans="1:29"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f t="shared" si="0"/>
        <v>3871.4064896152745</v>
      </c>
      <c r="Z64">
        <f t="shared" si="1"/>
        <v>14.443506791589703</v>
      </c>
      <c r="AA64">
        <f t="shared" si="2"/>
        <v>0.10496423745905693</v>
      </c>
      <c r="AB64" s="1">
        <f t="shared" si="3"/>
        <v>0.24157303370786518</v>
      </c>
      <c r="AC64">
        <f t="shared" si="4"/>
        <v>39.445186020194271</v>
      </c>
    </row>
    <row r="65" spans="1:29"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f t="shared" si="0"/>
        <v>4234.4162033466018</v>
      </c>
      <c r="Z65">
        <f t="shared" si="1"/>
        <v>17.304671304269188</v>
      </c>
      <c r="AA65">
        <f t="shared" si="2"/>
        <v>9.1597306925275318E-2</v>
      </c>
      <c r="AB65" s="1">
        <f t="shared" si="3"/>
        <v>0.18</v>
      </c>
      <c r="AC65">
        <f t="shared" si="4"/>
        <v>72.929343497263474</v>
      </c>
    </row>
    <row r="66" spans="1:29"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f t="shared" si="0"/>
        <v>8445.4524824730979</v>
      </c>
      <c r="Z66">
        <f t="shared" si="1"/>
        <v>63.124857301247545</v>
      </c>
      <c r="AA66">
        <f t="shared" si="2"/>
        <v>9.9092506672178587E-2</v>
      </c>
      <c r="AB66" s="1">
        <f t="shared" si="3"/>
        <v>0.35265700483091789</v>
      </c>
      <c r="AC66">
        <f t="shared" si="4"/>
        <v>1.3864213001861654</v>
      </c>
    </row>
    <row r="67" spans="1:29"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f t="shared" ref="Y67:Y101" si="5">F67 - (M67 + S67)</f>
        <v>8346.4019223910545</v>
      </c>
      <c r="Z67">
        <f t="shared" ref="Z67:Z101" si="6">IF(E67&lt;&gt;0, F67 / E67, 0)</f>
        <v>18.281355987925579</v>
      </c>
      <c r="AA67">
        <f t="shared" ref="AA67:AA101" si="7">IF(E67&lt;&gt;0, (M67 + S67) / E67, 0)</f>
        <v>1.7894450964847396E-2</v>
      </c>
      <c r="AB67" s="1">
        <f t="shared" ref="AB67:AB101" si="8">IF((E67 + H67)&lt;&gt;0, H67 / (E67 + H67), 0)</f>
        <v>0.11089494163424124</v>
      </c>
      <c r="AC67">
        <f t="shared" ref="AC67:AC101" si="9">S67 * U67</f>
        <v>7.8441141523783156</v>
      </c>
    </row>
    <row r="68" spans="1:29"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f t="shared" si="5"/>
        <v>8323.4210385530696</v>
      </c>
      <c r="Z68">
        <f t="shared" si="6"/>
        <v>11.885968207414987</v>
      </c>
      <c r="AA68">
        <f t="shared" si="7"/>
        <v>6.292695947028587E-2</v>
      </c>
      <c r="AB68" s="1">
        <f t="shared" si="8"/>
        <v>1.813110181311018E-2</v>
      </c>
      <c r="AC68">
        <f t="shared" si="9"/>
        <v>145.10980132784448</v>
      </c>
    </row>
    <row r="69" spans="1:29"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f t="shared" si="5"/>
        <v>9457.5923448166413</v>
      </c>
      <c r="Z69">
        <f t="shared" si="6"/>
        <v>18.467442558495769</v>
      </c>
      <c r="AA69">
        <f t="shared" si="7"/>
        <v>3.1590034486722922E-2</v>
      </c>
      <c r="AB69" s="1">
        <f t="shared" si="8"/>
        <v>2.2857142857142857E-2</v>
      </c>
      <c r="AC69">
        <f t="shared" si="9"/>
        <v>0.93132518287226618</v>
      </c>
    </row>
    <row r="70" spans="1:29"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f t="shared" si="5"/>
        <v>3451.9105993526427</v>
      </c>
      <c r="Z70">
        <f t="shared" si="6"/>
        <v>21.780481182705461</v>
      </c>
      <c r="AA70">
        <f t="shared" si="7"/>
        <v>0.6031155425051975</v>
      </c>
      <c r="AB70" s="1">
        <f t="shared" si="8"/>
        <v>0</v>
      </c>
      <c r="AC70">
        <f t="shared" si="9"/>
        <v>192.62166898289405</v>
      </c>
    </row>
    <row r="71" spans="1:29"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f t="shared" si="5"/>
        <v>1665.0480348812514</v>
      </c>
      <c r="Z71">
        <f t="shared" si="6"/>
        <v>3.4293171966421134</v>
      </c>
      <c r="AA71">
        <f t="shared" si="7"/>
        <v>0.17090616947723763</v>
      </c>
      <c r="AB71" s="1">
        <f t="shared" si="8"/>
        <v>0.15676567656765678</v>
      </c>
      <c r="AC71">
        <f t="shared" si="9"/>
        <v>105.75913572895324</v>
      </c>
    </row>
    <row r="72" spans="1:29"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f t="shared" si="5"/>
        <v>6997.1314876250181</v>
      </c>
      <c r="Z72">
        <f t="shared" si="6"/>
        <v>219.21524960010564</v>
      </c>
      <c r="AA72">
        <f t="shared" si="7"/>
        <v>0.55489061182380994</v>
      </c>
      <c r="AB72" s="1">
        <f t="shared" si="8"/>
        <v>0.23809523809523808</v>
      </c>
      <c r="AC72">
        <f t="shared" si="9"/>
        <v>20.943216035623578</v>
      </c>
    </row>
    <row r="73" spans="1:29"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f t="shared" si="5"/>
        <v>8140.447217630528</v>
      </c>
      <c r="Z73">
        <f t="shared" si="6"/>
        <v>12.841973446507755</v>
      </c>
      <c r="AA73">
        <f t="shared" si="7"/>
        <v>6.2621456506926229E-2</v>
      </c>
      <c r="AB73" s="1">
        <f t="shared" si="8"/>
        <v>0.10659186535764376</v>
      </c>
      <c r="AC73">
        <f t="shared" si="9"/>
        <v>63.737980695566407</v>
      </c>
    </row>
    <row r="74" spans="1:29"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f t="shared" si="5"/>
        <v>2570.7618742573159</v>
      </c>
      <c r="Z74">
        <f t="shared" si="6"/>
        <v>5.5086233918666316</v>
      </c>
      <c r="AA74">
        <f t="shared" si="7"/>
        <v>0.13046047501032162</v>
      </c>
      <c r="AB74" s="1">
        <f t="shared" si="8"/>
        <v>0.10654205607476636</v>
      </c>
      <c r="AC74">
        <f t="shared" si="9"/>
        <v>179.17684274564115</v>
      </c>
    </row>
    <row r="75" spans="1:29"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f t="shared" si="5"/>
        <v>7862.5037405061466</v>
      </c>
      <c r="Z75">
        <f t="shared" si="6"/>
        <v>21.095698443041815</v>
      </c>
      <c r="AA75">
        <f t="shared" si="7"/>
        <v>0.12902180169208843</v>
      </c>
      <c r="AB75" s="1">
        <f t="shared" si="8"/>
        <v>4.336734693877551E-2</v>
      </c>
      <c r="AC75">
        <f t="shared" si="9"/>
        <v>216.56609741914701</v>
      </c>
    </row>
    <row r="76" spans="1:29"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f t="shared" si="5"/>
        <v>5624.1267891627949</v>
      </c>
      <c r="Z76">
        <f t="shared" si="6"/>
        <v>6.3163111681076103</v>
      </c>
      <c r="AA76">
        <f t="shared" si="7"/>
        <v>9.4931976555846509E-2</v>
      </c>
      <c r="AB76" s="1">
        <f t="shared" si="8"/>
        <v>4.3386243386243389E-2</v>
      </c>
      <c r="AC76">
        <f t="shared" si="9"/>
        <v>31.959391284868691</v>
      </c>
    </row>
    <row r="77" spans="1:29"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f t="shared" si="5"/>
        <v>1838.5349093782779</v>
      </c>
      <c r="Z77">
        <f t="shared" si="6"/>
        <v>17.821448960182359</v>
      </c>
      <c r="AA77">
        <f t="shared" si="7"/>
        <v>0.47678000378350899</v>
      </c>
      <c r="AB77" s="1">
        <f t="shared" si="8"/>
        <v>0.13114754098360656</v>
      </c>
      <c r="AC77">
        <f t="shared" si="9"/>
        <v>97.574829491059532</v>
      </c>
    </row>
    <row r="78" spans="1:29"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f t="shared" si="5"/>
        <v>5256.9978481653125</v>
      </c>
      <c r="Z78">
        <f t="shared" si="6"/>
        <v>22.109443918247923</v>
      </c>
      <c r="AA78">
        <f t="shared" si="7"/>
        <v>0.2961748387238054</v>
      </c>
      <c r="AB78" s="1">
        <f t="shared" si="8"/>
        <v>0.13620071684587814</v>
      </c>
      <c r="AC78">
        <f t="shared" si="9"/>
        <v>140.2278522149193</v>
      </c>
    </row>
    <row r="79" spans="1:29"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f t="shared" si="5"/>
        <v>2434.0267861681805</v>
      </c>
      <c r="Z79">
        <f t="shared" si="6"/>
        <v>6.9185520265815885</v>
      </c>
      <c r="AA79">
        <f t="shared" si="7"/>
        <v>0.13853312360615513</v>
      </c>
      <c r="AB79" s="1">
        <f t="shared" si="8"/>
        <v>0.21098901098901099</v>
      </c>
      <c r="AC79">
        <f t="shared" si="9"/>
        <v>131.22581015118897</v>
      </c>
    </row>
    <row r="80" spans="1:29"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f t="shared" si="5"/>
        <v>1212.8648534464846</v>
      </c>
      <c r="Z80">
        <f t="shared" si="6"/>
        <v>1.3662351140991016</v>
      </c>
      <c r="AA80">
        <f t="shared" si="7"/>
        <v>8.4136960350174733E-2</v>
      </c>
      <c r="AB80" s="1">
        <f t="shared" si="8"/>
        <v>5.2576235541535229E-3</v>
      </c>
      <c r="AC80">
        <f t="shared" si="9"/>
        <v>291.39689040170498</v>
      </c>
    </row>
    <row r="81" spans="1:29"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f t="shared" si="5"/>
        <v>7824.3560401387494</v>
      </c>
      <c r="Z81">
        <f t="shared" si="6"/>
        <v>39.842036709227678</v>
      </c>
      <c r="AA81">
        <f t="shared" si="7"/>
        <v>0.32508701155722852</v>
      </c>
      <c r="AB81" s="1">
        <f t="shared" si="8"/>
        <v>0.13537117903930132</v>
      </c>
      <c r="AC81">
        <f t="shared" si="9"/>
        <v>9.5991408517821597</v>
      </c>
    </row>
    <row r="82" spans="1:29"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f t="shared" si="5"/>
        <v>8571.8782702788212</v>
      </c>
      <c r="Z82">
        <f t="shared" si="6"/>
        <v>9.9216429850711698</v>
      </c>
      <c r="AA82">
        <f t="shared" si="7"/>
        <v>9.1507354017475895E-2</v>
      </c>
      <c r="AB82" s="1">
        <f t="shared" si="8"/>
        <v>4.2810098792535674E-2</v>
      </c>
      <c r="AC82">
        <f t="shared" si="9"/>
        <v>219.3135022500289</v>
      </c>
    </row>
    <row r="83" spans="1:29"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f t="shared" si="5"/>
        <v>4360.5575296024444</v>
      </c>
      <c r="Z83">
        <f t="shared" si="6"/>
        <v>5.6646167959248839</v>
      </c>
      <c r="AA83">
        <f t="shared" si="7"/>
        <v>3.0821538040588681E-2</v>
      </c>
      <c r="AB83" s="1">
        <f t="shared" si="8"/>
        <v>5.8394160583941604E-2</v>
      </c>
      <c r="AC83">
        <f t="shared" si="9"/>
        <v>50.41492053576718</v>
      </c>
    </row>
    <row r="84" spans="1:29"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f t="shared" si="5"/>
        <v>2934.2084073009651</v>
      </c>
      <c r="Z84">
        <f t="shared" si="6"/>
        <v>8.760065082170982</v>
      </c>
      <c r="AA84">
        <f t="shared" si="7"/>
        <v>2.7301965203824913E-2</v>
      </c>
      <c r="AB84" s="1">
        <f t="shared" si="8"/>
        <v>0.1111111111111111</v>
      </c>
      <c r="AC84">
        <f t="shared" si="9"/>
        <v>18.476773151659962</v>
      </c>
    </row>
    <row r="85" spans="1:29"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f t="shared" si="5"/>
        <v>2309.0741987319602</v>
      </c>
      <c r="Z85">
        <f t="shared" si="6"/>
        <v>3.6376389624592611</v>
      </c>
      <c r="AA85">
        <f t="shared" si="7"/>
        <v>0.15487244853473595</v>
      </c>
      <c r="AB85" s="1">
        <f t="shared" si="8"/>
        <v>8.9285714285714288E-2</v>
      </c>
      <c r="AC85">
        <f t="shared" si="9"/>
        <v>75.54634849384648</v>
      </c>
    </row>
    <row r="86" spans="1:29"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f t="shared" si="5"/>
        <v>2006.0998477105782</v>
      </c>
      <c r="Z86">
        <f t="shared" si="6"/>
        <v>3.3143852748361002</v>
      </c>
      <c r="AA86">
        <f t="shared" si="7"/>
        <v>6.826901640474374E-2</v>
      </c>
      <c r="AB86" s="1">
        <f t="shared" si="8"/>
        <v>0.10564399421128799</v>
      </c>
      <c r="AC86">
        <f t="shared" si="9"/>
        <v>163.75066288329526</v>
      </c>
    </row>
    <row r="87" spans="1:29"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f t="shared" si="5"/>
        <v>8606.4345450303063</v>
      </c>
      <c r="Z87">
        <f t="shared" si="6"/>
        <v>347.384522370154</v>
      </c>
      <c r="AA87">
        <f t="shared" si="7"/>
        <v>3.1271405689417611</v>
      </c>
      <c r="AB87" s="1">
        <f t="shared" si="8"/>
        <v>0.375</v>
      </c>
      <c r="AC87">
        <f t="shared" si="9"/>
        <v>96.112920414103726</v>
      </c>
    </row>
    <row r="88" spans="1:29"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f t="shared" si="5"/>
        <v>1153.5277532596319</v>
      </c>
      <c r="Z88">
        <f t="shared" si="6"/>
        <v>5.5138611146411662</v>
      </c>
      <c r="AA88">
        <f t="shared" si="7"/>
        <v>0.34109092065178537</v>
      </c>
      <c r="AB88" s="1">
        <f t="shared" si="8"/>
        <v>0.12549019607843137</v>
      </c>
      <c r="AC88">
        <f t="shared" si="9"/>
        <v>153.06126669629214</v>
      </c>
    </row>
    <row r="89" spans="1:29"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f t="shared" si="5"/>
        <v>5098.5739004649986</v>
      </c>
      <c r="Z89">
        <f t="shared" si="6"/>
        <v>64.985401279578355</v>
      </c>
      <c r="AA89">
        <f t="shared" si="7"/>
        <v>0.44649114711002064</v>
      </c>
      <c r="AB89" s="1">
        <f t="shared" si="8"/>
        <v>5.9523809523809521E-2</v>
      </c>
      <c r="AC89">
        <f t="shared" si="9"/>
        <v>105.99918156684089</v>
      </c>
    </row>
    <row r="90" spans="1:29"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f t="shared" si="5"/>
        <v>9372.7558608730069</v>
      </c>
      <c r="Z90">
        <f t="shared" si="6"/>
        <v>12.815118090994545</v>
      </c>
      <c r="AA90">
        <f t="shared" si="7"/>
        <v>9.767458913157688E-2</v>
      </c>
      <c r="AB90" s="1">
        <f t="shared" si="8"/>
        <v>7.5282308657465491E-2</v>
      </c>
      <c r="AC90">
        <f t="shared" si="9"/>
        <v>49.243448685026429</v>
      </c>
    </row>
    <row r="91" spans="1:29"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f t="shared" si="5"/>
        <v>5868.1488772263083</v>
      </c>
      <c r="Z91">
        <f t="shared" si="6"/>
        <v>44.214049006367389</v>
      </c>
      <c r="AA91">
        <f t="shared" si="7"/>
        <v>0.42189320617105708</v>
      </c>
      <c r="AB91" s="1">
        <f t="shared" si="8"/>
        <v>0.4017857142857143</v>
      </c>
      <c r="AC91">
        <f t="shared" si="9"/>
        <v>88.904612319930223</v>
      </c>
    </row>
    <row r="92" spans="1:29"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f t="shared" si="5"/>
        <v>9499.2831762363985</v>
      </c>
      <c r="Z92">
        <f t="shared" si="6"/>
        <v>29.976979907125969</v>
      </c>
      <c r="AA92">
        <f t="shared" si="7"/>
        <v>0.29171998138722061</v>
      </c>
      <c r="AB92" s="1">
        <f t="shared" si="8"/>
        <v>0.17098445595854922</v>
      </c>
      <c r="AC92">
        <f t="shared" si="9"/>
        <v>104.47174675013633</v>
      </c>
    </row>
    <row r="93" spans="1:29"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f t="shared" si="5"/>
        <v>1887.962396920849</v>
      </c>
      <c r="Z93">
        <f t="shared" si="6"/>
        <v>2.1126711719515172</v>
      </c>
      <c r="AA93">
        <f t="shared" si="7"/>
        <v>5.1576852168931264E-2</v>
      </c>
      <c r="AB93" s="1">
        <f t="shared" si="8"/>
        <v>9.6646942800788949E-2</v>
      </c>
      <c r="AC93">
        <f t="shared" si="9"/>
        <v>24.897898352808667</v>
      </c>
    </row>
    <row r="94" spans="1:29"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f t="shared" si="5"/>
        <v>2033.0475642041922</v>
      </c>
      <c r="Z94">
        <f t="shared" si="6"/>
        <v>7.6091657776301815</v>
      </c>
      <c r="AA94">
        <f t="shared" si="7"/>
        <v>0.24305141457151416</v>
      </c>
      <c r="AB94" s="1">
        <f t="shared" si="8"/>
        <v>0.24590163934426229</v>
      </c>
      <c r="AC94">
        <f t="shared" si="9"/>
        <v>20.877063640841165</v>
      </c>
    </row>
    <row r="95" spans="1:29"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f t="shared" si="5"/>
        <v>4488.7620492895521</v>
      </c>
      <c r="Z95">
        <f t="shared" si="6"/>
        <v>39.749141523613162</v>
      </c>
      <c r="AA95">
        <f t="shared" si="7"/>
        <v>0.37403582809077357</v>
      </c>
      <c r="AB95" s="1">
        <f t="shared" si="8"/>
        <v>0.3559322033898305</v>
      </c>
      <c r="AC95">
        <f t="shared" si="9"/>
        <v>148.44202023637433</v>
      </c>
    </row>
    <row r="96" spans="1:29"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f t="shared" si="5"/>
        <v>7821.0262221049752</v>
      </c>
      <c r="Z96">
        <f t="shared" si="6"/>
        <v>7.9922558730110138</v>
      </c>
      <c r="AA96">
        <f t="shared" si="7"/>
        <v>6.8217147474057424E-2</v>
      </c>
      <c r="AB96" s="1">
        <f t="shared" si="8"/>
        <v>7.2368421052631582E-2</v>
      </c>
      <c r="AC96">
        <f t="shared" si="9"/>
        <v>88.383420153826364</v>
      </c>
    </row>
    <row r="97" spans="1:29"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f t="shared" si="5"/>
        <v>7318.8429194104674</v>
      </c>
      <c r="Z97">
        <f t="shared" si="6"/>
        <v>10.991613011977174</v>
      </c>
      <c r="AA97">
        <f t="shared" si="7"/>
        <v>0.10047771523540572</v>
      </c>
      <c r="AB97" s="1">
        <f t="shared" si="8"/>
        <v>2.1834061135371178E-2</v>
      </c>
      <c r="AC97">
        <f t="shared" si="9"/>
        <v>71.30967899619472</v>
      </c>
    </row>
    <row r="98" spans="1:29"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f t="shared" si="5"/>
        <v>7675.268131256722</v>
      </c>
      <c r="Z98">
        <f t="shared" si="6"/>
        <v>23.760570264296636</v>
      </c>
      <c r="AA98">
        <f t="shared" si="7"/>
        <v>7.147109375119752E-2</v>
      </c>
      <c r="AB98" s="1">
        <f t="shared" si="8"/>
        <v>0.17135549872122763</v>
      </c>
      <c r="AC98">
        <f t="shared" si="9"/>
        <v>68.936993424636086</v>
      </c>
    </row>
    <row r="99" spans="1:29"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f t="shared" si="5"/>
        <v>4297.2465784469523</v>
      </c>
      <c r="Z99">
        <f t="shared" si="6"/>
        <v>70.498654515879508</v>
      </c>
      <c r="AA99">
        <f t="shared" si="7"/>
        <v>1.188225831251243</v>
      </c>
      <c r="AB99" s="1">
        <f t="shared" si="8"/>
        <v>0.42592592592592593</v>
      </c>
      <c r="AC99">
        <f t="shared" si="9"/>
        <v>222.03880764472899</v>
      </c>
    </row>
    <row r="100" spans="1:29"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f t="shared" si="5"/>
        <v>8518.9380677240097</v>
      </c>
      <c r="Z100">
        <f t="shared" si="6"/>
        <v>9.3383927269260898</v>
      </c>
      <c r="AA100">
        <f t="shared" si="7"/>
        <v>7.6829046653996164E-3</v>
      </c>
      <c r="AB100" s="1">
        <f t="shared" si="8"/>
        <v>5.4865424430641824E-2</v>
      </c>
      <c r="AC100">
        <f t="shared" si="9"/>
        <v>16.299125755040048</v>
      </c>
    </row>
    <row r="101" spans="1:29"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f t="shared" si="5"/>
        <v>9145.8019069049533</v>
      </c>
      <c r="Z101">
        <f t="shared" si="6"/>
        <v>14.649419185297768</v>
      </c>
      <c r="AA101">
        <f t="shared" si="7"/>
        <v>6.2813273168654885E-2</v>
      </c>
      <c r="AB101" s="1">
        <f t="shared" si="8"/>
        <v>8.0645161290322578E-2</v>
      </c>
      <c r="AC101">
        <f t="shared" si="9"/>
        <v>13.174261924397767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Revenue by product type</vt:lpstr>
      <vt:lpstr>Inventory anaysis</vt:lpstr>
      <vt:lpstr>Shipping cost by carrier</vt:lpstr>
      <vt:lpstr>Order Quantity vs Lead Time</vt:lpstr>
      <vt:lpstr>Profit by Product Type</vt:lpstr>
      <vt:lpstr>supply_chain_data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Kushi K</dc:creator>
  <cp:lastModifiedBy>Kushi K</cp:lastModifiedBy>
  <dcterms:created xsi:type="dcterms:W3CDTF">2025-11-03T20:10:47Z</dcterms:created>
  <dcterms:modified xsi:type="dcterms:W3CDTF">2025-11-07T16:50:54Z</dcterms:modified>
</cp:coreProperties>
</file>