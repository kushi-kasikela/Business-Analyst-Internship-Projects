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d615aaf63cd41801/Desktop/"/>
    </mc:Choice>
  </mc:AlternateContent>
  <xr:revisionPtr revIDLastSave="0" documentId="8_{8D235641-9DD2-459C-9040-6E62D828AE0D}" xr6:coauthVersionLast="47" xr6:coauthVersionMax="47" xr10:uidLastSave="{00000000-0000-0000-0000-000000000000}"/>
  <bookViews>
    <workbookView xWindow="-108" yWindow="-108" windowWidth="23256" windowHeight="12456" xr2:uid="{68F8B0CE-1974-492F-BEB5-E76F831F46A2}"/>
  </bookViews>
  <sheets>
    <sheet name="Stocks Dashboard" sheetId="7" r:id="rId1"/>
    <sheet name="average closing price per month" sheetId="2" r:id="rId2"/>
    <sheet name="Average Daily Return per Compan" sheetId="3" r:id="rId3"/>
    <sheet name="Average Volatility per Company" sheetId="4" r:id="rId4"/>
    <sheet name="Risk vs Reward" sheetId="6" r:id="rId5"/>
    <sheet name="stocks" sheetId="1" r:id="rId6"/>
  </sheets>
  <definedNames>
    <definedName name="Slicer_Months__Date">#N/A</definedName>
    <definedName name="Slicer_Tick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7" i="1" l="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6"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<sst xmlns="http://schemas.openxmlformats.org/spreadsheetml/2006/main" count="309" uniqueCount="42">
  <si>
    <t>Ticker</t>
  </si>
  <si>
    <t>Date</t>
  </si>
  <si>
    <t>Open</t>
  </si>
  <si>
    <t>High</t>
  </si>
  <si>
    <t>Low</t>
  </si>
  <si>
    <t>Close</t>
  </si>
  <si>
    <t>Adj Close</t>
  </si>
  <si>
    <t>Volume</t>
  </si>
  <si>
    <t>AAPL</t>
  </si>
  <si>
    <t>MSFT</t>
  </si>
  <si>
    <t>NFLX</t>
  </si>
  <si>
    <t>GOOG</t>
  </si>
  <si>
    <r>
      <t xml:space="preserve">Daily Return </t>
    </r>
    <r>
      <rPr>
        <strike/>
        <sz val="11"/>
        <color theme="1"/>
        <rFont val="Calibri"/>
        <family val="2"/>
        <scheme val="minor"/>
      </rPr>
      <t>%</t>
    </r>
  </si>
  <si>
    <t>5 Day Moving Avg</t>
  </si>
  <si>
    <t>5 Day Volatility</t>
  </si>
  <si>
    <t>(All)</t>
  </si>
  <si>
    <t>Row Labels</t>
  </si>
  <si>
    <t>(blank)</t>
  </si>
  <si>
    <t>Grand Total</t>
  </si>
  <si>
    <t>&lt;07-02-2023</t>
  </si>
  <si>
    <t>Feb</t>
  </si>
  <si>
    <t>Mar</t>
  </si>
  <si>
    <t>Apr</t>
  </si>
  <si>
    <t>May</t>
  </si>
  <si>
    <t>Average of Close</t>
  </si>
  <si>
    <t>2023</t>
  </si>
  <si>
    <t>Company</t>
  </si>
  <si>
    <t>Sum of Daily Return %</t>
  </si>
  <si>
    <t>Average of Daily Return %</t>
  </si>
  <si>
    <t>Count of 5 Day Volatility</t>
  </si>
  <si>
    <t>Average of 5 Day Volatility</t>
  </si>
  <si>
    <t>X-axis: Month/Year</t>
  </si>
  <si>
    <t>Y-axis: Average Price</t>
  </si>
  <si>
    <t>Average Daily Return by Company</t>
  </si>
  <si>
    <t>Average Volatility by Company</t>
  </si>
  <si>
    <t>volatility (X)</t>
  </si>
  <si>
    <t>average return (Y)</t>
  </si>
  <si>
    <t>Stock Market Performance Dashboard</t>
  </si>
  <si>
    <t>Prepared by K Kushi</t>
  </si>
  <si>
    <t xml:space="preserve"> Average Stock Price Trend (Monthly)</t>
  </si>
  <si>
    <t>Average Stock Price Trend (Monthly)</t>
  </si>
  <si>
    <t>Risk vs Reward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</si>
</sst>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m/yy;@"/>
    <numFmt numFmtId="165" formatCode="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trike/>
      <sz val="11"/>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10" fontId="0" fillId="0" borderId="0" xfId="1" applyNumberFormat="1" applyFont="1"/>
    <xf numFmtId="165"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16" fillId="0" borderId="0" xfId="0" applyFont="1"/>
    <xf numFmtId="0" fontId="19" fillId="0" borderId="0" xfId="0" applyFont="1"/>
    <xf numFmtId="0" fontId="20" fillId="0" borderId="0" xfId="0" applyFont="1"/>
    <xf numFmtId="0" fontId="22" fillId="0" borderId="0" xfId="0" applyFont="1"/>
    <xf numFmtId="0" fontId="21"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font>
        <b val="0"/>
        <i val="0"/>
        <strike val="0"/>
        <condense val="0"/>
        <extend val="0"/>
        <outline val="0"/>
        <shadow val="0"/>
        <u val="none"/>
        <vertAlign val="baseline"/>
        <sz val="11"/>
        <color theme="1"/>
        <name val="Calibri"/>
        <family val="2"/>
        <scheme val="minor"/>
      </font>
      <numFmt numFmtId="165" formatCode="0.0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64" formatCode="[$-14009]d/m/yy;@"/>
    </dxf>
    <dxf>
      <font>
        <b val="0"/>
        <i val="0"/>
        <strike val="0"/>
        <condense val="0"/>
        <extend val="0"/>
        <outline val="0"/>
        <shadow val="0"/>
        <u val="none"/>
        <vertAlign val="baseline"/>
        <sz val="11"/>
        <color theme="1"/>
        <name val="Calibri"/>
        <family val="2"/>
        <scheme val="minor"/>
      </font>
    </dxf>
    <dxf>
      <numFmt numFmtId="165" formatCode="0.0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closing price per month!PivotTable1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closing price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'average closing price per month'!$A$4:$A$11</c:f>
              <c:multiLvlStrCache>
                <c:ptCount val="5"/>
                <c:lvl>
                  <c:pt idx="0">
                    <c:v>&lt;07-02-2023</c:v>
                  </c:pt>
                  <c:pt idx="1">
                    <c:v>Feb</c:v>
                  </c:pt>
                  <c:pt idx="2">
                    <c:v>Mar</c:v>
                  </c:pt>
                  <c:pt idx="3">
                    <c:v>Apr</c:v>
                  </c:pt>
                  <c:pt idx="4">
                    <c:v>May</c:v>
                  </c:pt>
                </c:lvl>
                <c:lvl>
                  <c:pt idx="0">
                    <c:v>&lt;07-02-2023</c:v>
                  </c:pt>
                  <c:pt idx="1">
                    <c:v>2023</c:v>
                  </c:pt>
                </c:lvl>
              </c:multiLvlStrCache>
            </c:multiLvlStrRef>
          </c:cat>
          <c:val>
            <c:numRef>
              <c:f>'average closing price per month'!$B$4:$B$11</c:f>
              <c:numCache>
                <c:formatCode>General</c:formatCode>
                <c:ptCount val="5"/>
                <c:pt idx="1">
                  <c:v>212.74583333333305</c:v>
                </c:pt>
                <c:pt idx="2">
                  <c:v>208.21728349768574</c:v>
                </c:pt>
                <c:pt idx="3">
                  <c:v>223.44473668148615</c:v>
                </c:pt>
                <c:pt idx="4">
                  <c:v>225.60574798583926</c:v>
                </c:pt>
              </c:numCache>
            </c:numRef>
          </c:val>
          <c:smooth val="0"/>
          <c:extLst>
            <c:ext xmlns:c16="http://schemas.microsoft.com/office/drawing/2014/chart" uri="{C3380CC4-5D6E-409C-BE32-E72D297353CC}">
              <c16:uniqueId val="{00000000-EDAB-4280-B725-64AA051E31E3}"/>
            </c:ext>
          </c:extLst>
        </c:ser>
        <c:dLbls>
          <c:showLegendKey val="0"/>
          <c:showVal val="0"/>
          <c:showCatName val="0"/>
          <c:showSerName val="0"/>
          <c:showPercent val="0"/>
          <c:showBubbleSize val="0"/>
        </c:dLbls>
        <c:marker val="1"/>
        <c:smooth val="0"/>
        <c:axId val="1511339600"/>
        <c:axId val="1511340560"/>
      </c:lineChart>
      <c:catAx>
        <c:axId val="15113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40560"/>
        <c:crosses val="autoZero"/>
        <c:auto val="1"/>
        <c:lblAlgn val="ctr"/>
        <c:lblOffset val="100"/>
        <c:noMultiLvlLbl val="0"/>
      </c:catAx>
      <c:valAx>
        <c:axId val="151134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3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Daily Return per Compan!PivotTable2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Daily Return per Compan'!$B$3</c:f>
              <c:strCache>
                <c:ptCount val="1"/>
                <c:pt idx="0">
                  <c:v>Total</c:v>
                </c:pt>
              </c:strCache>
            </c:strRef>
          </c:tx>
          <c:spPr>
            <a:solidFill>
              <a:schemeClr val="accent1"/>
            </a:solidFill>
            <a:ln>
              <a:noFill/>
            </a:ln>
            <a:effectLst/>
          </c:spPr>
          <c:invertIfNegative val="0"/>
          <c:cat>
            <c:strRef>
              <c:f>'Average Daily Return per Compan'!$A$4:$A$9</c:f>
              <c:strCache>
                <c:ptCount val="5"/>
                <c:pt idx="0">
                  <c:v>AAPL</c:v>
                </c:pt>
                <c:pt idx="1">
                  <c:v>GOOG</c:v>
                </c:pt>
                <c:pt idx="2">
                  <c:v>MSFT</c:v>
                </c:pt>
                <c:pt idx="3">
                  <c:v>NFLX</c:v>
                </c:pt>
                <c:pt idx="4">
                  <c:v>(blank)</c:v>
                </c:pt>
              </c:strCache>
            </c:strRef>
          </c:cat>
          <c:val>
            <c:numRef>
              <c:f>'Average Daily Return per Compan'!$B$4:$B$9</c:f>
              <c:numCache>
                <c:formatCode>General</c:formatCode>
                <c:ptCount val="5"/>
                <c:pt idx="0">
                  <c:v>1.9593757856305053E-3</c:v>
                </c:pt>
                <c:pt idx="1">
                  <c:v>-6.5731509250860812E-5</c:v>
                </c:pt>
                <c:pt idx="2">
                  <c:v>2.5638533797205255E-3</c:v>
                </c:pt>
                <c:pt idx="3">
                  <c:v>-1.6493571480381978E-3</c:v>
                </c:pt>
              </c:numCache>
            </c:numRef>
          </c:val>
          <c:extLst>
            <c:ext xmlns:c16="http://schemas.microsoft.com/office/drawing/2014/chart" uri="{C3380CC4-5D6E-409C-BE32-E72D297353CC}">
              <c16:uniqueId val="{00000000-FCF2-4998-BC4D-49874BA49F8B}"/>
            </c:ext>
          </c:extLst>
        </c:ser>
        <c:dLbls>
          <c:showLegendKey val="0"/>
          <c:showVal val="0"/>
          <c:showCatName val="0"/>
          <c:showSerName val="0"/>
          <c:showPercent val="0"/>
          <c:showBubbleSize val="0"/>
        </c:dLbls>
        <c:gapWidth val="219"/>
        <c:overlap val="-27"/>
        <c:axId val="1358960080"/>
        <c:axId val="1358962000"/>
      </c:barChart>
      <c:catAx>
        <c:axId val="13589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62000"/>
        <c:crosses val="autoZero"/>
        <c:auto val="1"/>
        <c:lblAlgn val="ctr"/>
        <c:lblOffset val="100"/>
        <c:noMultiLvlLbl val="0"/>
      </c:catAx>
      <c:valAx>
        <c:axId val="135896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Volatility per Company!PivotTable3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Volatility per Company'!$B$3</c:f>
              <c:strCache>
                <c:ptCount val="1"/>
                <c:pt idx="0">
                  <c:v>Total</c:v>
                </c:pt>
              </c:strCache>
            </c:strRef>
          </c:tx>
          <c:spPr>
            <a:solidFill>
              <a:schemeClr val="accent1"/>
            </a:solidFill>
            <a:ln>
              <a:noFill/>
            </a:ln>
            <a:effectLst/>
          </c:spPr>
          <c:invertIfNegative val="0"/>
          <c:cat>
            <c:strRef>
              <c:f>'Average Volatility per Company'!$A$4:$A$9</c:f>
              <c:strCache>
                <c:ptCount val="5"/>
                <c:pt idx="0">
                  <c:v>AAPL</c:v>
                </c:pt>
                <c:pt idx="1">
                  <c:v>GOOG</c:v>
                </c:pt>
                <c:pt idx="2">
                  <c:v>MSFT</c:v>
                </c:pt>
                <c:pt idx="3">
                  <c:v>NFLX</c:v>
                </c:pt>
                <c:pt idx="4">
                  <c:v>(blank)</c:v>
                </c:pt>
              </c:strCache>
            </c:strRef>
          </c:cat>
          <c:val>
            <c:numRef>
              <c:f>'Average Volatility per Company'!$B$4:$B$9</c:f>
              <c:numCache>
                <c:formatCode>General</c:formatCode>
                <c:ptCount val="5"/>
                <c:pt idx="0">
                  <c:v>1.9275117529135068</c:v>
                </c:pt>
                <c:pt idx="1">
                  <c:v>1.796956808697544</c:v>
                </c:pt>
                <c:pt idx="2">
                  <c:v>4.3560897309040048</c:v>
                </c:pt>
                <c:pt idx="3">
                  <c:v>6.3478828782359509</c:v>
                </c:pt>
              </c:numCache>
            </c:numRef>
          </c:val>
          <c:extLst>
            <c:ext xmlns:c16="http://schemas.microsoft.com/office/drawing/2014/chart" uri="{C3380CC4-5D6E-409C-BE32-E72D297353CC}">
              <c16:uniqueId val="{00000000-47BC-4B38-A043-30C819A923C3}"/>
            </c:ext>
          </c:extLst>
        </c:ser>
        <c:dLbls>
          <c:showLegendKey val="0"/>
          <c:showVal val="0"/>
          <c:showCatName val="0"/>
          <c:showSerName val="0"/>
          <c:showPercent val="0"/>
          <c:showBubbleSize val="0"/>
        </c:dLbls>
        <c:gapWidth val="219"/>
        <c:overlap val="-27"/>
        <c:axId val="331462240"/>
        <c:axId val="331460320"/>
      </c:barChart>
      <c:catAx>
        <c:axId val="3314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60320"/>
        <c:crosses val="autoZero"/>
        <c:auto val="1"/>
        <c:lblAlgn val="ctr"/>
        <c:lblOffset val="100"/>
        <c:noMultiLvlLbl val="0"/>
      </c:catAx>
      <c:valAx>
        <c:axId val="331460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6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RISK vs REWARD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xVal>
            <c:numRef>
              <c:f>'Risk vs Reward'!$G$8:$G$11</c:f>
              <c:numCache>
                <c:formatCode>General</c:formatCode>
                <c:ptCount val="4"/>
                <c:pt idx="0">
                  <c:v>0.12148129870909131</c:v>
                </c:pt>
                <c:pt idx="1">
                  <c:v>-4.07535357355337E-3</c:v>
                </c:pt>
                <c:pt idx="2">
                  <c:v>0.15895890954267258</c:v>
                </c:pt>
                <c:pt idx="3">
                  <c:v>-0.10226014317836826</c:v>
                </c:pt>
              </c:numCache>
            </c:numRef>
          </c:xVal>
          <c:yVal>
            <c:numRef>
              <c:f>'Risk vs Reward'!$H$8:$H$11</c:f>
              <c:numCache>
                <c:formatCode>General</c:formatCode>
                <c:ptCount val="4"/>
                <c:pt idx="0">
                  <c:v>58</c:v>
                </c:pt>
                <c:pt idx="1">
                  <c:v>62</c:v>
                </c:pt>
                <c:pt idx="2">
                  <c:v>62</c:v>
                </c:pt>
                <c:pt idx="3">
                  <c:v>62</c:v>
                </c:pt>
              </c:numCache>
            </c:numRef>
          </c:yVal>
          <c:smooth val="0"/>
          <c:extLst>
            <c:ext xmlns:c16="http://schemas.microsoft.com/office/drawing/2014/chart" uri="{C3380CC4-5D6E-409C-BE32-E72D297353CC}">
              <c16:uniqueId val="{00000000-A754-436D-9B54-F4D6FF4A0A45}"/>
            </c:ext>
          </c:extLst>
        </c:ser>
        <c:dLbls>
          <c:showLegendKey val="0"/>
          <c:showVal val="0"/>
          <c:showCatName val="0"/>
          <c:showSerName val="0"/>
          <c:showPercent val="0"/>
          <c:showBubbleSize val="0"/>
        </c:dLbls>
        <c:axId val="472465968"/>
        <c:axId val="472466928"/>
      </c:scatterChart>
      <c:valAx>
        <c:axId val="472465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472466928"/>
        <c:crosses val="autoZero"/>
        <c:crossBetween val="midCat"/>
      </c:valAx>
      <c:valAx>
        <c:axId val="47246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65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closing price per month!PivotTable1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closing price per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'average closing price per month'!$A$4:$A$11</c:f>
              <c:multiLvlStrCache>
                <c:ptCount val="5"/>
                <c:lvl>
                  <c:pt idx="0">
                    <c:v>&lt;07-02-2023</c:v>
                  </c:pt>
                  <c:pt idx="1">
                    <c:v>Feb</c:v>
                  </c:pt>
                  <c:pt idx="2">
                    <c:v>Mar</c:v>
                  </c:pt>
                  <c:pt idx="3">
                    <c:v>Apr</c:v>
                  </c:pt>
                  <c:pt idx="4">
                    <c:v>May</c:v>
                  </c:pt>
                </c:lvl>
                <c:lvl>
                  <c:pt idx="0">
                    <c:v>&lt;07-02-2023</c:v>
                  </c:pt>
                  <c:pt idx="1">
                    <c:v>2023</c:v>
                  </c:pt>
                </c:lvl>
              </c:multiLvlStrCache>
            </c:multiLvlStrRef>
          </c:cat>
          <c:val>
            <c:numRef>
              <c:f>'average closing price per month'!$B$4:$B$11</c:f>
              <c:numCache>
                <c:formatCode>General</c:formatCode>
                <c:ptCount val="5"/>
                <c:pt idx="1">
                  <c:v>212.74583333333305</c:v>
                </c:pt>
                <c:pt idx="2">
                  <c:v>208.21728349768574</c:v>
                </c:pt>
                <c:pt idx="3">
                  <c:v>223.44473668148615</c:v>
                </c:pt>
                <c:pt idx="4">
                  <c:v>225.60574798583926</c:v>
                </c:pt>
              </c:numCache>
            </c:numRef>
          </c:val>
          <c:smooth val="0"/>
          <c:extLst>
            <c:ext xmlns:c16="http://schemas.microsoft.com/office/drawing/2014/chart" uri="{C3380CC4-5D6E-409C-BE32-E72D297353CC}">
              <c16:uniqueId val="{00000000-07DA-40D3-9FB5-F818C66E9175}"/>
            </c:ext>
          </c:extLst>
        </c:ser>
        <c:dLbls>
          <c:showLegendKey val="0"/>
          <c:showVal val="0"/>
          <c:showCatName val="0"/>
          <c:showSerName val="0"/>
          <c:showPercent val="0"/>
          <c:showBubbleSize val="0"/>
        </c:dLbls>
        <c:marker val="1"/>
        <c:smooth val="0"/>
        <c:axId val="1511339600"/>
        <c:axId val="1511340560"/>
      </c:lineChart>
      <c:catAx>
        <c:axId val="15113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40560"/>
        <c:crosses val="autoZero"/>
        <c:auto val="1"/>
        <c:lblAlgn val="ctr"/>
        <c:lblOffset val="100"/>
        <c:noMultiLvlLbl val="0"/>
      </c:catAx>
      <c:valAx>
        <c:axId val="1511340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33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Daily Return per Compan!PivotTable2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Daily Return per Compan'!$B$3</c:f>
              <c:strCache>
                <c:ptCount val="1"/>
                <c:pt idx="0">
                  <c:v>Total</c:v>
                </c:pt>
              </c:strCache>
            </c:strRef>
          </c:tx>
          <c:spPr>
            <a:solidFill>
              <a:schemeClr val="accent1"/>
            </a:solidFill>
            <a:ln>
              <a:noFill/>
            </a:ln>
            <a:effectLst/>
          </c:spPr>
          <c:invertIfNegative val="0"/>
          <c:cat>
            <c:strRef>
              <c:f>'Average Daily Return per Compan'!$A$4:$A$9</c:f>
              <c:strCache>
                <c:ptCount val="5"/>
                <c:pt idx="0">
                  <c:v>AAPL</c:v>
                </c:pt>
                <c:pt idx="1">
                  <c:v>GOOG</c:v>
                </c:pt>
                <c:pt idx="2">
                  <c:v>MSFT</c:v>
                </c:pt>
                <c:pt idx="3">
                  <c:v>NFLX</c:v>
                </c:pt>
                <c:pt idx="4">
                  <c:v>(blank)</c:v>
                </c:pt>
              </c:strCache>
            </c:strRef>
          </c:cat>
          <c:val>
            <c:numRef>
              <c:f>'Average Daily Return per Compan'!$B$4:$B$9</c:f>
              <c:numCache>
                <c:formatCode>General</c:formatCode>
                <c:ptCount val="5"/>
                <c:pt idx="0">
                  <c:v>1.9593757856305053E-3</c:v>
                </c:pt>
                <c:pt idx="1">
                  <c:v>-6.5731509250860812E-5</c:v>
                </c:pt>
                <c:pt idx="2">
                  <c:v>2.5638533797205255E-3</c:v>
                </c:pt>
                <c:pt idx="3">
                  <c:v>-1.6493571480381978E-3</c:v>
                </c:pt>
              </c:numCache>
            </c:numRef>
          </c:val>
          <c:extLst>
            <c:ext xmlns:c16="http://schemas.microsoft.com/office/drawing/2014/chart" uri="{C3380CC4-5D6E-409C-BE32-E72D297353CC}">
              <c16:uniqueId val="{00000000-1DE7-4C69-9438-54F52D234BC8}"/>
            </c:ext>
          </c:extLst>
        </c:ser>
        <c:dLbls>
          <c:showLegendKey val="0"/>
          <c:showVal val="0"/>
          <c:showCatName val="0"/>
          <c:showSerName val="0"/>
          <c:showPercent val="0"/>
          <c:showBubbleSize val="0"/>
        </c:dLbls>
        <c:gapWidth val="219"/>
        <c:overlap val="-27"/>
        <c:axId val="1358960080"/>
        <c:axId val="1358962000"/>
      </c:barChart>
      <c:catAx>
        <c:axId val="13589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62000"/>
        <c:crosses val="autoZero"/>
        <c:auto val="1"/>
        <c:lblAlgn val="ctr"/>
        <c:lblOffset val="100"/>
        <c:noMultiLvlLbl val="0"/>
      </c:catAx>
      <c:valAx>
        <c:axId val="1358962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6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[project_2_stocks.xlsx]Average Volatility per Company!PivotTable3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Volatility per Company'!$B$3</c:f>
              <c:strCache>
                <c:ptCount val="1"/>
                <c:pt idx="0">
                  <c:v>Total</c:v>
                </c:pt>
              </c:strCache>
            </c:strRef>
          </c:tx>
          <c:spPr>
            <a:solidFill>
              <a:schemeClr val="accent1"/>
            </a:solidFill>
            <a:ln>
              <a:noFill/>
            </a:ln>
            <a:effectLst/>
          </c:spPr>
          <c:invertIfNegative val="0"/>
          <c:cat>
            <c:strRef>
              <c:f>'Average Volatility per Company'!$A$4:$A$9</c:f>
              <c:strCache>
                <c:ptCount val="5"/>
                <c:pt idx="0">
                  <c:v>AAPL</c:v>
                </c:pt>
                <c:pt idx="1">
                  <c:v>GOOG</c:v>
                </c:pt>
                <c:pt idx="2">
                  <c:v>MSFT</c:v>
                </c:pt>
                <c:pt idx="3">
                  <c:v>NFLX</c:v>
                </c:pt>
                <c:pt idx="4">
                  <c:v>(blank)</c:v>
                </c:pt>
              </c:strCache>
            </c:strRef>
          </c:cat>
          <c:val>
            <c:numRef>
              <c:f>'Average Volatility per Company'!$B$4:$B$9</c:f>
              <c:numCache>
                <c:formatCode>General</c:formatCode>
                <c:ptCount val="5"/>
                <c:pt idx="0">
                  <c:v>1.9275117529135068</c:v>
                </c:pt>
                <c:pt idx="1">
                  <c:v>1.796956808697544</c:v>
                </c:pt>
                <c:pt idx="2">
                  <c:v>4.3560897309040048</c:v>
                </c:pt>
                <c:pt idx="3">
                  <c:v>6.3478828782359509</c:v>
                </c:pt>
              </c:numCache>
            </c:numRef>
          </c:val>
          <c:extLst>
            <c:ext xmlns:c16="http://schemas.microsoft.com/office/drawing/2014/chart" uri="{C3380CC4-5D6E-409C-BE32-E72D297353CC}">
              <c16:uniqueId val="{00000000-B0BE-4602-8EFE-A531A96E15F4}"/>
            </c:ext>
          </c:extLst>
        </c:ser>
        <c:dLbls>
          <c:showLegendKey val="0"/>
          <c:showVal val="0"/>
          <c:showCatName val="0"/>
          <c:showSerName val="0"/>
          <c:showPercent val="0"/>
          <c:showBubbleSize val="0"/>
        </c:dLbls>
        <c:gapWidth val="219"/>
        <c:overlap val="-27"/>
        <c:axId val="331462240"/>
        <c:axId val="331460320"/>
      </c:barChart>
      <c:catAx>
        <c:axId val="3314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60320"/>
        <c:crosses val="autoZero"/>
        <c:auto val="1"/>
        <c:lblAlgn val="ctr"/>
        <c:lblOffset val="100"/>
        <c:noMultiLvlLbl val="0"/>
      </c:catAx>
      <c:valAx>
        <c:axId val="3314603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6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RISK vs REWARD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diamond"/>
            <c:size val="6"/>
            <c:spPr>
              <a:solidFill>
                <a:schemeClr val="accent1"/>
              </a:solidFill>
              <a:ln w="9525">
                <a:solidFill>
                  <a:schemeClr val="accent1"/>
                </a:solidFill>
                <a:round/>
              </a:ln>
              <a:effectLst/>
            </c:spPr>
          </c:marker>
          <c:xVal>
            <c:numRef>
              <c:f>'Risk vs Reward'!$G$8:$G$11</c:f>
              <c:numCache>
                <c:formatCode>General</c:formatCode>
                <c:ptCount val="4"/>
                <c:pt idx="0">
                  <c:v>0.12148129870909131</c:v>
                </c:pt>
                <c:pt idx="1">
                  <c:v>-4.07535357355337E-3</c:v>
                </c:pt>
                <c:pt idx="2">
                  <c:v>0.15895890954267258</c:v>
                </c:pt>
                <c:pt idx="3">
                  <c:v>-0.10226014317836826</c:v>
                </c:pt>
              </c:numCache>
            </c:numRef>
          </c:xVal>
          <c:yVal>
            <c:numRef>
              <c:f>'Risk vs Reward'!$H$8:$H$11</c:f>
              <c:numCache>
                <c:formatCode>General</c:formatCode>
                <c:ptCount val="4"/>
                <c:pt idx="0">
                  <c:v>58</c:v>
                </c:pt>
                <c:pt idx="1">
                  <c:v>62</c:v>
                </c:pt>
                <c:pt idx="2">
                  <c:v>62</c:v>
                </c:pt>
                <c:pt idx="3">
                  <c:v>62</c:v>
                </c:pt>
              </c:numCache>
            </c:numRef>
          </c:yVal>
          <c:smooth val="0"/>
          <c:extLst>
            <c:ext xmlns:c16="http://schemas.microsoft.com/office/drawing/2014/chart" uri="{C3380CC4-5D6E-409C-BE32-E72D297353CC}">
              <c16:uniqueId val="{00000000-3BCF-4F1A-9E6F-B631A10A8165}"/>
            </c:ext>
          </c:extLst>
        </c:ser>
        <c:dLbls>
          <c:showLegendKey val="0"/>
          <c:showVal val="0"/>
          <c:showCatName val="0"/>
          <c:showSerName val="0"/>
          <c:showPercent val="0"/>
          <c:showBubbleSize val="0"/>
        </c:dLbls>
        <c:axId val="472465968"/>
        <c:axId val="472466928"/>
      </c:scatterChart>
      <c:valAx>
        <c:axId val="472465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472466928"/>
        <c:crosses val="autoZero"/>
        <c:crossBetween val="midCat"/>
      </c:valAx>
      <c:valAx>
        <c:axId val="47246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65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6</xdr:row>
      <xdr:rowOff>0</xdr:rowOff>
    </xdr:from>
    <xdr:to>
      <xdr:col>4</xdr:col>
      <xdr:colOff>1</xdr:colOff>
      <xdr:row>19</xdr:row>
      <xdr:rowOff>130174</xdr:rowOff>
    </xdr:to>
    <mc:AlternateContent xmlns:mc="http://schemas.openxmlformats.org/markup-compatibility/2006" xmlns:a14="http://schemas.microsoft.com/office/drawing/2010/main">
      <mc:Choice Requires="a14">
        <xdr:graphicFrame macro="">
          <xdr:nvGraphicFramePr>
            <xdr:cNvPr id="2" name="Company 1">
              <a:extLst>
                <a:ext uri="{FF2B5EF4-FFF2-40B4-BE49-F238E27FC236}">
                  <a16:creationId xmlns:a16="http://schemas.microsoft.com/office/drawing/2014/main" id="{227F0671-9D99-44AE-8BE2-B3275A9C21DE}"/>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607787" y="1333500"/>
              <a:ext cx="1823357" cy="2488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14446</xdr:colOff>
      <xdr:row>23</xdr:row>
      <xdr:rowOff>177340</xdr:rowOff>
    </xdr:from>
    <xdr:to>
      <xdr:col>4</xdr:col>
      <xdr:colOff>14446</xdr:colOff>
      <xdr:row>37</xdr:row>
      <xdr:rowOff>109063</xdr:rowOff>
    </xdr:to>
    <mc:AlternateContent xmlns:mc="http://schemas.openxmlformats.org/markup-compatibility/2006" xmlns:a14="http://schemas.microsoft.com/office/drawing/2010/main">
      <mc:Choice Requires="a14">
        <xdr:graphicFrame macro="">
          <xdr:nvGraphicFramePr>
            <xdr:cNvPr id="3" name="Months (Date) 1">
              <a:extLst>
                <a:ext uri="{FF2B5EF4-FFF2-40B4-BE49-F238E27FC236}">
                  <a16:creationId xmlns:a16="http://schemas.microsoft.com/office/drawing/2014/main" id="{07C48857-178C-4AA0-9227-8934ECC6736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622232" y="4595126"/>
              <a:ext cx="1823357" cy="248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51966</xdr:colOff>
      <xdr:row>6</xdr:row>
      <xdr:rowOff>171126</xdr:rowOff>
    </xdr:from>
    <xdr:to>
      <xdr:col>14</xdr:col>
      <xdr:colOff>244930</xdr:colOff>
      <xdr:row>21</xdr:row>
      <xdr:rowOff>172357</xdr:rowOff>
    </xdr:to>
    <xdr:graphicFrame macro="">
      <xdr:nvGraphicFramePr>
        <xdr:cNvPr id="4" name="Chart 3">
          <a:extLst>
            <a:ext uri="{FF2B5EF4-FFF2-40B4-BE49-F238E27FC236}">
              <a16:creationId xmlns:a16="http://schemas.microsoft.com/office/drawing/2014/main" id="{EDDEB4FA-9EB6-44DF-9A3E-ED572EBE3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9071</xdr:colOff>
      <xdr:row>6</xdr:row>
      <xdr:rowOff>172357</xdr:rowOff>
    </xdr:from>
    <xdr:to>
      <xdr:col>24</xdr:col>
      <xdr:colOff>326571</xdr:colOff>
      <xdr:row>22</xdr:row>
      <xdr:rowOff>12700</xdr:rowOff>
    </xdr:to>
    <xdr:graphicFrame macro="">
      <xdr:nvGraphicFramePr>
        <xdr:cNvPr id="5" name="Chart 4">
          <a:extLst>
            <a:ext uri="{FF2B5EF4-FFF2-40B4-BE49-F238E27FC236}">
              <a16:creationId xmlns:a16="http://schemas.microsoft.com/office/drawing/2014/main" id="{4E9D85E1-224B-4C70-BE2B-ED9E2B11D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607785</xdr:colOff>
      <xdr:row>24</xdr:row>
      <xdr:rowOff>0</xdr:rowOff>
    </xdr:from>
    <xdr:to>
      <xdr:col>14</xdr:col>
      <xdr:colOff>317499</xdr:colOff>
      <xdr:row>39</xdr:row>
      <xdr:rowOff>21771</xdr:rowOff>
    </xdr:to>
    <xdr:graphicFrame macro="">
      <xdr:nvGraphicFramePr>
        <xdr:cNvPr id="6" name="Chart 5">
          <a:extLst>
            <a:ext uri="{FF2B5EF4-FFF2-40B4-BE49-F238E27FC236}">
              <a16:creationId xmlns:a16="http://schemas.microsoft.com/office/drawing/2014/main" id="{27BD95F5-CC83-4B88-840E-B919C1478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9072</xdr:colOff>
      <xdr:row>23</xdr:row>
      <xdr:rowOff>199571</xdr:rowOff>
    </xdr:from>
    <xdr:to>
      <xdr:col>24</xdr:col>
      <xdr:colOff>326572</xdr:colOff>
      <xdr:row>39</xdr:row>
      <xdr:rowOff>21771</xdr:rowOff>
    </xdr:to>
    <xdr:graphicFrame macro="">
      <xdr:nvGraphicFramePr>
        <xdr:cNvPr id="7" name="Chart 6">
          <a:extLst>
            <a:ext uri="{FF2B5EF4-FFF2-40B4-BE49-F238E27FC236}">
              <a16:creationId xmlns:a16="http://schemas.microsoft.com/office/drawing/2014/main" id="{5800C281-5AFB-4742-B470-6F0D45701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2</xdr:row>
      <xdr:rowOff>171450</xdr:rowOff>
    </xdr:from>
    <xdr:to>
      <xdr:col>10</xdr:col>
      <xdr:colOff>317500</xdr:colOff>
      <xdr:row>17</xdr:row>
      <xdr:rowOff>152400</xdr:rowOff>
    </xdr:to>
    <xdr:graphicFrame macro="">
      <xdr:nvGraphicFramePr>
        <xdr:cNvPr id="2" name="Chart 1">
          <a:extLst>
            <a:ext uri="{FF2B5EF4-FFF2-40B4-BE49-F238E27FC236}">
              <a16:creationId xmlns:a16="http://schemas.microsoft.com/office/drawing/2014/main" id="{853C2537-0C9F-E721-6B51-F7B1A6928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225425</xdr:colOff>
      <xdr:row>2</xdr:row>
      <xdr:rowOff>152400</xdr:rowOff>
    </xdr:from>
    <xdr:to>
      <xdr:col>10</xdr:col>
      <xdr:colOff>530225</xdr:colOff>
      <xdr:row>17</xdr:row>
      <xdr:rowOff>133350</xdr:rowOff>
    </xdr:to>
    <xdr:graphicFrame macro="">
      <xdr:nvGraphicFramePr>
        <xdr:cNvPr id="2" name="Chart 1">
          <a:extLst>
            <a:ext uri="{FF2B5EF4-FFF2-40B4-BE49-F238E27FC236}">
              <a16:creationId xmlns:a16="http://schemas.microsoft.com/office/drawing/2014/main" id="{2079B77E-6627-BEB6-D165-C94B0BB51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2</xdr:row>
      <xdr:rowOff>146050</xdr:rowOff>
    </xdr:from>
    <xdr:to>
      <xdr:col>10</xdr:col>
      <xdr:colOff>371475</xdr:colOff>
      <xdr:row>17</xdr:row>
      <xdr:rowOff>127000</xdr:rowOff>
    </xdr:to>
    <xdr:graphicFrame macro="">
      <xdr:nvGraphicFramePr>
        <xdr:cNvPr id="2" name="Chart 1">
          <a:extLst>
            <a:ext uri="{FF2B5EF4-FFF2-40B4-BE49-F238E27FC236}">
              <a16:creationId xmlns:a16="http://schemas.microsoft.com/office/drawing/2014/main" id="{9EA6F48F-BC9D-808F-E145-8F9765D229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485775</xdr:colOff>
      <xdr:row>2</xdr:row>
      <xdr:rowOff>19050</xdr:rowOff>
    </xdr:from>
    <xdr:to>
      <xdr:col>12</xdr:col>
      <xdr:colOff>180975</xdr:colOff>
      <xdr:row>17</xdr:row>
      <xdr:rowOff>0</xdr:rowOff>
    </xdr:to>
    <xdr:graphicFrame macro="">
      <xdr:nvGraphicFramePr>
        <xdr:cNvPr id="2" name="Chart 1">
          <a:extLst>
            <a:ext uri="{FF2B5EF4-FFF2-40B4-BE49-F238E27FC236}">
              <a16:creationId xmlns:a16="http://schemas.microsoft.com/office/drawing/2014/main" id="{97D46C88-3FF5-2A73-1EC3-864E2441E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 K" refreshedDate="45960.812399537041" createdVersion="8" refreshedVersion="8" minRefreshableVersion="3" recordCount="249" xr:uid="{644B9680-8E1B-4946-9801-5008C69A9BF9}">
  <cacheSource type="worksheet">
    <worksheetSource name="Table1"/>
  </cacheSource>
  <cacheFields count="13">
    <cacheField name="Ticker" numFmtId="0">
      <sharedItems containsBlank="1" count="5">
        <s v="AAPL"/>
        <s v="MSFT"/>
        <s v="NFLX"/>
        <s v="GOOG"/>
        <m/>
      </sharedItems>
    </cacheField>
    <cacheField name="Date" numFmtId="164">
      <sharedItems containsNonDate="0" containsDate="1" containsString="0" containsBlank="1" minDate="2023-02-07T00:00:00" maxDate="2023-05-06T00:00:00" count="63">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m/>
      </sharedItems>
      <fieldGroup par="12"/>
    </cacheField>
    <cacheField name="Open" numFmtId="0">
      <sharedItems containsString="0" containsBlank="1" containsNumber="1" minValue="89.540000915527301" maxValue="372.41000366210898"/>
    </cacheField>
    <cacheField name="High" numFmtId="0">
      <sharedItems containsString="0" containsBlank="1" containsNumber="1" minValue="90.129997253417898" maxValue="373.829986572265"/>
    </cacheField>
    <cacheField name="Low" numFmtId="0">
      <sharedItems containsString="0" containsBlank="1" containsNumber="1" minValue="88.860000610351506" maxValue="361.739990234375"/>
    </cacheField>
    <cacheField name="Close" numFmtId="0">
      <sharedItems containsString="0" containsBlank="1" containsNumber="1" minValue="89.349998474121094" maxValue="366.829986572265" count="245">
        <n v="154.64999389648401"/>
        <n v="151.919998168945"/>
        <n v="150.86999511718699"/>
        <n v="151.009994506835"/>
        <n v="153.850006103515"/>
        <n v="153.19999694824199"/>
        <n v="155.33000183105401"/>
        <n v="153.71000671386699"/>
        <n v="152.55000305175699"/>
        <n v="148.47999572753901"/>
        <n v="148.91000366210901"/>
        <n v="149.39999389648401"/>
        <n v="146.71000671386699"/>
        <n v="147.919998168945"/>
        <n v="147.41000366210901"/>
        <n v="145.30999755859301"/>
        <n v="145.91000366210901"/>
        <n v="151.02999877929599"/>
        <n v="153.83000183105401"/>
        <n v="151.600006103515"/>
        <n v="152.86999511718699"/>
        <n v="150.58999633789"/>
        <n v="148.5"/>
        <n v="150.47000122070301"/>
        <n v="152.58999633789"/>
        <n v="152.99000549316401"/>
        <n v="155.850006103515"/>
        <n v="155"/>
        <n v="157.39999389648401"/>
        <n v="159.27999877929599"/>
        <n v="157.83000183105401"/>
        <n v="158.92999267578099"/>
        <n v="160.25"/>
        <n v="158.27999877929599"/>
        <n v="157.64999389648401"/>
        <n v="160.77000427246"/>
        <n v="162.36000061035099"/>
        <n v="164.89999389648401"/>
        <n v="166.169998168945"/>
        <n v="165.63000488281199"/>
        <n v="163.759994506835"/>
        <n v="164.66000366210901"/>
        <n v="162.02999877929599"/>
        <n v="160.80000305175699"/>
        <n v="160.100006103515"/>
        <n v="165.55999755859301"/>
        <n v="165.21000671386699"/>
        <n v="165.22999572753901"/>
        <n v="166.47000122070301"/>
        <n v="167.63000488281199"/>
        <n v="166.64999389648401"/>
        <n v="165.02000427246"/>
        <n v="165.33000183105401"/>
        <n v="163.77000427246"/>
        <n v="168.41000366210901"/>
        <n v="169.67999267578099"/>
        <n v="169.58999633789"/>
        <n v="168.53999328613199"/>
        <n v="167.44999694824199"/>
        <n v="165.78999328613199"/>
        <n v="173.57000732421801"/>
        <n v="267.55999755859301"/>
        <n v="266.73001098632801"/>
        <n v="263.61999511718699"/>
        <n v="263.100006103515"/>
        <n v="271.32000732421801"/>
        <n v="272.17001342773398"/>
        <n v="269.32000732421801"/>
        <n v="262.14999389648398"/>
        <n v="258.05999755859301"/>
        <n v="252.669998168945"/>
        <n v="251.509994506835"/>
        <n v="254.77000427246"/>
        <n v="249.22000122070301"/>
        <n v="250.16000366210901"/>
        <n v="249.419998168945"/>
        <n v="246.27000427246"/>
        <n v="251.11000061035099"/>
        <n v="255.28999328613199"/>
        <n v="256.86999511718699"/>
        <n v="254.14999389648401"/>
        <n v="253.69999694824199"/>
        <n v="252.32000732421801"/>
        <n v="248.58999633789"/>
        <n v="253.919998168945"/>
        <n v="260.79000854492102"/>
        <n v="265.44000244140602"/>
        <n v="276.20001220703102"/>
        <n v="279.42999267578102"/>
        <n v="272.23001098632801"/>
        <n v="273.77999877929602"/>
        <n v="272.29000854492102"/>
        <n v="277.66000366210898"/>
        <n v="280.57000732421801"/>
        <n v="276.38000488281199"/>
        <n v="275.23001098632801"/>
        <n v="280.510009765625"/>
        <n v="284.04998779296801"/>
        <n v="288.29998779296801"/>
        <n v="287.23001098632801"/>
        <n v="287.17999267578102"/>
        <n v="284.33999633789"/>
        <n v="291.600006103515"/>
        <n v="289.39001464843699"/>
        <n v="282.829986572265"/>
        <n v="283.489990234375"/>
        <n v="289.83999633789"/>
        <n v="286.14001464843699"/>
        <n v="288.79998779296801"/>
        <n v="288.36999511718699"/>
        <n v="288.45001220703102"/>
        <n v="286.10998535156199"/>
        <n v="285.760009765625"/>
        <n v="281.76998901367102"/>
        <n v="275.42001342773398"/>
        <n v="295.36999511718699"/>
        <n v="304.829986572265"/>
        <n v="307.260009765625"/>
        <n v="305.55999755859301"/>
        <n v="305.41000366210898"/>
        <n v="304.39999389648398"/>
        <n v="310.64999389648398"/>
        <n v="362.95001220703102"/>
        <n v="366.829986572265"/>
        <n v="362.5"/>
        <n v="347.35998535156199"/>
        <n v="358.57000732421801"/>
        <n v="359.95999145507801"/>
        <n v="361.42001342773398"/>
        <n v="350.70999145507801"/>
        <n v="347.95999145507801"/>
        <n v="337.5"/>
        <n v="334.88000488281199"/>
        <n v="323.64999389648398"/>
        <n v="317.14999389648398"/>
        <n v="323.02999877929602"/>
        <n v="322.13000488281199"/>
        <n v="313.48001098632801"/>
        <n v="311.88000488281199"/>
        <n v="315.17999267578102"/>
        <n v="312.02999877929602"/>
        <n v="308.47000122070301"/>
        <n v="311.79000854492102"/>
        <n v="297.77999877929602"/>
        <n v="292.760009765625"/>
        <n v="293.510009765625"/>
        <n v="294.94000244140602"/>
        <n v="303.79000854492102"/>
        <n v="310.05999755859301"/>
        <n v="303.5"/>
        <n v="305.13000488281199"/>
        <n v="305.79000854492102"/>
        <n v="293.89999389648398"/>
        <n v="320.36999511718699"/>
        <n v="328.39001464843699"/>
        <n v="327.66000366210898"/>
        <n v="323.51998901367102"/>
        <n v="332.02999877929602"/>
        <n v="338.42999267578102"/>
        <n v="345.48001098632801"/>
        <n v="348.27999877929602"/>
        <n v="346.75"/>
        <n v="342.350006103515"/>
        <n v="339.329986572265"/>
        <n v="338.989990234375"/>
        <n v="338.20999145507801"/>
        <n v="331.02999877929602"/>
        <n v="346.19000244140602"/>
        <n v="338.63000488281199"/>
        <n v="332.72000122070301"/>
        <n v="333.70001220703102"/>
        <n v="323.11999511718699"/>
        <n v="325.350006103515"/>
        <n v="327.98001098632801"/>
        <n v="329.01998901367102"/>
        <n v="322.54998779296801"/>
        <n v="321.14999389648398"/>
        <n v="325.850006103515"/>
        <n v="329.92999267578102"/>
        <n v="324.11999511718699"/>
        <n v="317.54998779296801"/>
        <n v="319.29998779296801"/>
        <n v="320.77999877929602"/>
        <n v="322.760009765625"/>
        <n v="108.040000915527"/>
        <n v="100"/>
        <n v="95.459999084472599"/>
        <n v="94.860000610351506"/>
        <n v="95"/>
        <n v="94.949996948242102"/>
        <n v="97.099998474121094"/>
        <n v="95.779998779296804"/>
        <n v="94.589996337890597"/>
        <n v="92.050003051757798"/>
        <n v="91.800003051757798"/>
        <n v="91.069999694824205"/>
        <n v="89.349998474121094"/>
        <n v="90.099998474121094"/>
        <n v="90.300003051757798"/>
        <n v="90.510002136230398"/>
        <n v="92.309997558593693"/>
        <n v="94.019996643066406"/>
        <n v="95.580001831054602"/>
        <n v="94.169998168945298"/>
        <n v="94.650001525878906"/>
        <n v="92.660003662109304"/>
        <n v="91.010002136230398"/>
        <n v="91.660003662109304"/>
        <n v="94.25"/>
        <n v="96.550003051757798"/>
        <n v="101.06999969482401"/>
        <n v="102.459999084472"/>
        <n v="101.930000305175"/>
        <n v="105.83999633789"/>
        <n v="104.220001220703"/>
        <n v="106.26000213623"/>
        <n v="106.059997558593"/>
        <n v="103.059997558593"/>
        <n v="101.36000061035099"/>
        <n v="101.900001525878"/>
        <n v="101.31999969482401"/>
        <n v="104"/>
        <n v="104.91000366210901"/>
        <n v="105.120002746582"/>
        <n v="104.949996948242"/>
        <n v="108.900001525878"/>
        <n v="106.949996948242"/>
        <n v="106.120002746582"/>
        <n v="105.220001220703"/>
        <n v="108.19000244140599"/>
        <n v="109.459999084472"/>
        <n v="106.419998168945"/>
        <n v="105.01999664306599"/>
        <n v="105.900001525878"/>
        <n v="105.91000366210901"/>
        <n v="106.77999877929599"/>
        <n v="104.61000061035099"/>
        <n v="104.449996948242"/>
        <n v="108.370002746582"/>
        <n v="108.220001220703"/>
        <n v="107.709999084472"/>
        <n v="105.980003356933"/>
        <n v="105.209999084472"/>
        <n v="106.21499633789"/>
        <m/>
      </sharedItems>
    </cacheField>
    <cacheField name="Daily Return %" numFmtId="0">
      <sharedItems containsString="0" containsBlank="1" containsNumber="1" minValue="-7.4416890479418088E-2" maxValue="9.0064653863266647E-2" count="246">
        <n v="-1.7652737376545557E-2"/>
        <n v="-6.9115525566972374E-3"/>
        <n v="9.279472007622711E-4"/>
        <n v="1.8806779021182309E-2"/>
        <n v="-4.2249537178156828E-3"/>
        <n v="1.3903426404973301E-2"/>
        <n v="-1.0429376798366476E-2"/>
        <n v="-7.5467023059166277E-3"/>
        <n v="-2.6679824600443405E-2"/>
        <n v="2.8960664530127346E-3"/>
        <n v="3.2905125399555731E-3"/>
        <n v="-1.8005269695531918E-2"/>
        <n v="8.2475045989050672E-3"/>
        <n v="-3.4477725334576491E-3"/>
        <n v="-1.4246021649450583E-2"/>
        <n v="4.1291453691894488E-3"/>
        <n v="3.5090089703812312E-2"/>
        <n v="1.8539383396604058E-2"/>
        <n v="-1.4496494188358199E-2"/>
        <n v="8.3772359006688904E-3"/>
        <n v="-1.4914625839748268E-2"/>
        <n v="-1.3878719627567551E-2"/>
        <n v="1.3266001486215564E-2"/>
        <n v="1.4089154648689539E-2"/>
        <n v="2.6214638238029673E-3"/>
        <n v="1.8694035607958629E-2"/>
        <n v="-5.4540010922452505E-3"/>
        <n v="1.5483831590219391E-2"/>
        <n v="1.1944122971493863E-2"/>
        <n v="-9.1034465052398424E-3"/>
        <n v="6.9694660835425458E-3"/>
        <n v="8.3055897882776345E-3"/>
        <n v="-1.2293299349166965E-2"/>
        <n v="-3.9803189769445271E-3"/>
        <n v="1.9790742129838917E-2"/>
        <n v="9.8898817916083237E-3"/>
        <n v="1.5644205941023372E-2"/>
        <n v="7.7016635504440325E-3"/>
        <n v="-3.2496436906980066E-3"/>
        <n v="-1.1290287513425331E-2"/>
        <n v="5.4959036728377602E-3"/>
        <n v="-1.5972335869795802E-2"/>
        <n v="-7.591160506113471E-3"/>
        <n v="-4.3532147696333017E-3"/>
        <n v="3.410363052420981E-2"/>
        <n v="-2.1139819394002946E-3"/>
        <n v="1.2099154324614721E-4"/>
        <n v="7.5047238711350578E-3"/>
        <n v="6.9682444500680013E-3"/>
        <n v="-5.8462742813441791E-3"/>
        <n v="-9.7809161939513018E-3"/>
        <n v="1.8785453312810327E-3"/>
        <n v="-9.4356592349652459E-3"/>
        <n v="-6.1120872955141453E-5"/>
        <n v="2.8395269365253457E-2"/>
        <n v="7.5410544864071326E-3"/>
        <n v="-5.3038862432624307E-4"/>
        <n v="-6.1914209235902819E-3"/>
        <n v="-6.4672859932983521E-3"/>
        <n v="-9.9134290377031163E-3"/>
        <n v="4.6926921727167989E-2"/>
        <n v="0"/>
        <n v="-3.1020577808281704E-3"/>
        <n v="-1.1659789828825956E-2"/>
        <n v="-1.9724945880559555E-3"/>
        <n v="3.1242877347060587E-2"/>
        <n v="3.1328544912658735E-3"/>
        <n v="-1.0471418462389479E-2"/>
        <n v="-2.6622654213366667E-2"/>
        <n v="-1.5601741114310291E-2"/>
        <n v="-2.088661334821644E-2"/>
        <n v="-4.5909829837984034E-3"/>
        <n v="1.2961750375038899E-2"/>
        <n v="-2.178436612899539E-2"/>
        <n v="3.771777693611162E-3"/>
        <n v="-2.9581287269388225E-3"/>
        <n v="-1.2629275597826551E-2"/>
        <n v="1.9653210922659831E-2"/>
        <n v="1.6646062146553516E-2"/>
        <n v="6.1890472506069428E-3"/>
        <n v="-1.0589018851587114E-2"/>
        <n v="-1.7705959435328649E-3"/>
        <n v="-5.4394546339135864E-3"/>
        <n v="-1.4782858584555851E-2"/>
        <n v="2.144093450892659E-2"/>
        <n v="2.7055806653736188E-2"/>
        <n v="1.7830414295507951E-2"/>
        <n v="4.0536504169149092E-2"/>
        <n v="1.1694353099191415E-2"/>
        <n v="-2.5766674581017709E-2"/>
        <n v="5.6936698027972195E-3"/>
        <n v="-5.442290309805046E-3"/>
        <n v="1.9721601779971447E-2"/>
        <n v="1.0480456759088307E-2"/>
        <n v="-1.493389290382769E-2"/>
        <n v="-4.1609156819126135E-3"/>
        <n v="1.9183950036463396E-2"/>
        <n v="1.2619792178898625E-2"/>
        <n v="1.4962155193252974E-2"/>
        <n v="-3.7113314323424947E-3"/>
        <n v="-1.7414026610669707E-4"/>
        <n v="-9.8892555551295218E-3"/>
        <n v="2.5532847503443399E-2"/>
        <n v="-7.5788457092606752E-3"/>
        <n v="-2.2668467272934013E-2"/>
        <n v="2.3335703194306266E-3"/>
        <n v="2.2399401468338052E-2"/>
        <n v="-1.2765600801138716E-2"/>
        <n v="9.2960544081860472E-3"/>
        <n v="-1.4888943696537529E-3"/>
        <n v="2.7748063667829622E-4"/>
        <n v="-8.1124172523505123E-3"/>
        <n v="-1.2232204531657663E-3"/>
        <n v="-1.3962838100497399E-2"/>
        <n v="-2.2536025245857374E-2"/>
        <n v="7.2434756796232541E-2"/>
        <n v="3.2027597966830697E-2"/>
        <n v="7.9717327704042096E-3"/>
        <n v="-5.5328130996570041E-3"/>
        <n v="-4.9088197958658414E-4"/>
        <n v="-3.3070618300454443E-3"/>
        <n v="3.3180347762045942E-3"/>
        <n v="1.7157231824574661E-2"/>
        <n v="1.0690106721971382E-2"/>
        <n v="-1.1803796665385202E-2"/>
        <n v="-4.1765557650863483E-2"/>
        <n v="3.2272059089680102E-2"/>
        <n v="3.8764651322417505E-3"/>
        <n v="4.0560673611366397E-3"/>
        <n v="-2.9633173523185199E-2"/>
        <n v="-7.8412365401692406E-3"/>
        <n v="-3.0060902724296127E-2"/>
        <n v="-7.7629484953718863E-3"/>
        <n v="-3.3534432700028913E-2"/>
        <n v="-2.0083423829999999E-2"/>
        <n v="1.8540138722913695E-2"/>
        <n v="-2.7861000522708024E-3"/>
        <n v="-2.6852493606209601E-2"/>
        <n v="-5.1040131665230958E-3"/>
        <n v="1.0580953383686765E-2"/>
        <n v="-9.9942698448036715E-3"/>
        <n v="-1.1409151596065146E-2"/>
        <n v="1.0762820731610216E-2"/>
        <n v="-4.4934120342751502E-2"/>
        <n v="-1.6858046323627196E-2"/>
        <n v="2.5618253005266251E-3"/>
        <n v="4.8720405717096573E-3"/>
        <n v="3.0006123381900961E-2"/>
        <n v="2.0639220636990942E-2"/>
        <n v="-2.1157187674147961E-2"/>
        <n v="5.3706915413904068E-3"/>
        <n v="2.163024453666936E-3"/>
        <n v="-3.8882940306044646E-2"/>
        <n v="9.0064653863266647E-2"/>
        <n v="2.5033616298294058E-2"/>
        <n v="-2.222999950560421E-3"/>
        <n v="-1.2635093090907852E-2"/>
        <n v="2.630443266139389E-2"/>
        <n v="1.9275348372178702E-2"/>
        <n v="2.083154112555553E-2"/>
        <n v="8.1046303807105567E-3"/>
        <n v="-4.3930136231152854E-3"/>
        <n v="-1.2689239787988466E-2"/>
        <n v="-8.8214385202518408E-3"/>
        <n v="-1.0019637265909385E-3"/>
        <n v="-2.3009492957526672E-3"/>
        <n v="-2.1229392558426693E-2"/>
        <n v="4.5796464725293556E-2"/>
        <n v="-2.1837711965334967E-2"/>
        <n v="-1.7452687525886027E-2"/>
        <n v="2.9454525809464067E-3"/>
        <n v="-3.1705174416595705E-2"/>
        <n v="6.9014948626724441E-3"/>
        <n v="8.0836171307039593E-3"/>
        <n v="3.1708579562989372E-3"/>
        <n v="-1.9664462454389596E-2"/>
        <n v="-4.3403935807389774E-3"/>
        <n v="1.4634944095767207E-2"/>
        <n v="1.2521057222168367E-2"/>
        <n v="-1.7609789008492666E-2"/>
        <n v="-2.0270293172883588E-2"/>
        <n v="5.5109433704054857E-3"/>
        <n v="4.6351739521131472E-3"/>
        <n v="6.1724889140961385E-3"/>
        <n v="-7.4416890479418088E-2"/>
        <n v="-4.5400009155274007E-2"/>
        <n v="-6.2853391983605069E-3"/>
        <n v="1.4758527171379445E-3"/>
        <n v="-5.2634791324102906E-4"/>
        <n v="2.2643513375266058E-2"/>
        <n v="-1.3594229820467953E-2"/>
        <n v="-1.2424331348638842E-2"/>
        <n v="-2.6852662908026088E-2"/>
        <n v="-2.7159151734023322E-3"/>
        <n v="-7.9521060203234448E-3"/>
        <n v="-1.8886584237035677E-2"/>
        <n v="8.3939564947751663E-3"/>
        <n v="2.2198066706310845E-3"/>
        <n v="2.3255711780234708E-3"/>
        <n v="1.988725422472145E-2"/>
        <n v="1.8524527458548493E-2"/>
        <n v="1.6592270194504842E-2"/>
        <n v="-1.4752078207757306E-2"/>
        <n v="5.0972004488357312E-3"/>
        <n v="-2.1024805406109827E-2"/>
        <n v="-1.7807052241177797E-2"/>
        <n v="7.1420888981623869E-3"/>
        <n v="2.825655939790625E-2"/>
        <n v="2.4403215403265763E-2"/>
        <n v="4.68150854500042E-2"/>
        <n v="1.3752838565796311E-2"/>
        <n v="-5.1727384738706793E-3"/>
        <n v="3.8359619552718563E-2"/>
        <n v="-1.5306076844666852E-2"/>
        <n v="1.9573986678497204E-2"/>
        <n v="-1.8822188369673502E-3"/>
        <n v="-2.8285876570406723E-2"/>
        <n v="-1.6495216267354351E-2"/>
        <n v="5.3275543831425073E-3"/>
        <n v="-5.6918726434630812E-3"/>
        <n v="2.6450851887565727E-2"/>
        <n v="8.7500352125865922E-3"/>
        <n v="2.0017069597038245E-3"/>
        <n v="-1.6172545081628419E-3"/>
        <n v="3.7637014697427869E-2"/>
        <n v="-1.790637787247976E-2"/>
        <n v="-7.7605818171427544E-3"/>
        <n v="-8.4809791046485221E-3"/>
        <n v="2.822658416885308E-2"/>
        <n v="1.1738576711409343E-2"/>
        <n v="-2.7772710953350058E-2"/>
        <n v="-1.2215706114739962E-2"/>
        <n v="-9.513517970228593E-4"/>
        <n v="8.3794030750438554E-3"/>
        <n v="9.4448877118898008E-5"/>
        <n v="8.214475376307092E-3"/>
        <n v="-2.0322140791836661E-2"/>
        <n v="-1.529525486812388E-3"/>
        <n v="3.7529975230946887E-2"/>
        <n v="-1.3841609493152548E-3"/>
        <n v="-4.7126421223272798E-3"/>
        <n v="-1.6061607485320369E-2"/>
        <n v="1.3209981620541952E-3"/>
        <n v="-8.5752321763797774E-3"/>
        <n v="9.5522979009922387E-3"/>
        <m/>
      </sharedItems>
    </cacheField>
    <cacheField name="5 Day Moving Avg" numFmtId="0">
      <sharedItems containsBlank="1" containsMixedTypes="1" containsNumber="1" minValue="90.266000366210932" maxValue="359.64199829101523"/>
    </cacheField>
    <cacheField name="5 Day Volatility" numFmtId="165">
      <sharedItems containsBlank="1" containsMixedTypes="1" containsNumber="1" minValue="0.59116855336939689" maxValue="14.984932479775106"/>
    </cacheField>
    <cacheField name="Adj Close" numFmtId="0">
      <sharedItems containsString="0" containsBlank="1" containsNumber="1" minValue="89.349998474121094" maxValue="366.829986572265"/>
    </cacheField>
    <cacheField name="Volume" numFmtId="0">
      <sharedItems containsString="0" containsBlank="1" containsNumber="1" containsInteger="1" minValue="2657900" maxValue="113316400"/>
    </cacheField>
    <cacheField name="Months (Date)" numFmtId="0" databaseField="0">
      <fieldGroup base="1">
        <rangePr groupBy="months" startDate="2023-02-07T00:00:00" endDate="2023-05-06T00:00:00"/>
        <groupItems count="14">
          <s v="&lt;07-02-2023"/>
          <s v="Jan"/>
          <s v="Feb"/>
          <s v="Mar"/>
          <s v="Apr"/>
          <s v="May"/>
          <s v="Jun"/>
          <s v="Jul"/>
          <s v="Aug"/>
          <s v="Sep"/>
          <s v="Oct"/>
          <s v="Nov"/>
          <s v="Dec"/>
          <s v="&gt;06-05-2023"/>
        </groupItems>
      </fieldGroup>
    </cacheField>
    <cacheField name="Years (Date)" numFmtId="0" databaseField="0">
      <fieldGroup base="1">
        <rangePr groupBy="years" startDate="2023-02-07T00:00:00" endDate="2023-05-06T00:00:00"/>
        <groupItems count="3">
          <s v="&lt;07-02-2023"/>
          <s v="2023"/>
          <s v="&gt;06-05-2023"/>
        </groupItems>
      </fieldGroup>
    </cacheField>
  </cacheFields>
  <extLst>
    <ext xmlns:x14="http://schemas.microsoft.com/office/spreadsheetml/2009/9/main" uri="{725AE2AE-9491-48be-B2B4-4EB974FC3084}">
      <x14:pivotCacheDefinition pivotCacheId="1525545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n v="150.63999938964801"/>
    <n v="155.22999572753901"/>
    <n v="150.63999938964801"/>
    <x v="0"/>
    <x v="0"/>
    <m/>
    <m/>
    <n v="154.41423034667901"/>
    <n v="83322600"/>
  </r>
  <r>
    <x v="0"/>
    <x v="1"/>
    <n v="153.88000488281199"/>
    <n v="154.58000183105401"/>
    <n v="151.169998168945"/>
    <x v="1"/>
    <x v="1"/>
    <m/>
    <m/>
    <n v="151.68840026855401"/>
    <n v="64120100"/>
  </r>
  <r>
    <x v="0"/>
    <x v="2"/>
    <n v="153.77999877929599"/>
    <n v="154.33000183105401"/>
    <n v="150.419998168945"/>
    <x v="2"/>
    <x v="2"/>
    <m/>
    <m/>
    <n v="150.63999938964801"/>
    <n v="56007100"/>
  </r>
  <r>
    <x v="0"/>
    <x v="3"/>
    <n v="149.46000671386699"/>
    <n v="151.33999633789"/>
    <n v="149.22000122070301"/>
    <x v="3"/>
    <x v="3"/>
    <m/>
    <m/>
    <n v="151.009994506835"/>
    <n v="57450700"/>
  </r>
  <r>
    <x v="0"/>
    <x v="4"/>
    <n v="150.94999694824199"/>
    <n v="154.259994506835"/>
    <n v="150.919998168945"/>
    <x v="4"/>
    <x v="4"/>
    <n v="152.45999755859322"/>
    <n v="1.7066358479137396"/>
    <n v="153.850006103515"/>
    <n v="62199000"/>
  </r>
  <r>
    <x v="0"/>
    <x v="5"/>
    <n v="152.11999511718699"/>
    <n v="153.77000427246"/>
    <n v="150.86000061035099"/>
    <x v="5"/>
    <x v="5"/>
    <n v="152.1699981689448"/>
    <n v="1.3211207908685147"/>
    <n v="153.19999694824199"/>
    <n v="61707600"/>
  </r>
  <r>
    <x v="0"/>
    <x v="6"/>
    <n v="153.11000061035099"/>
    <n v="155.5"/>
    <n v="152.88000488281199"/>
    <x v="6"/>
    <x v="6"/>
    <n v="152.85199890136658"/>
    <n v="1.9091188232850094"/>
    <n v="155.33000183105401"/>
    <n v="65573800"/>
  </r>
  <r>
    <x v="0"/>
    <x v="7"/>
    <n v="153.509994506835"/>
    <n v="156.33000183105401"/>
    <n v="153.350006103515"/>
    <x v="7"/>
    <x v="7"/>
    <n v="153.42000122070257"/>
    <n v="1.5631413849711899"/>
    <n v="153.71000671386699"/>
    <n v="68167900"/>
  </r>
  <r>
    <x v="0"/>
    <x v="8"/>
    <n v="152.350006103515"/>
    <n v="153"/>
    <n v="150.850006103515"/>
    <x v="8"/>
    <x v="8"/>
    <n v="153.72800292968699"/>
    <n v="1.0305439276219464"/>
    <n v="152.55000305175699"/>
    <n v="59144100"/>
  </r>
  <r>
    <x v="0"/>
    <x v="9"/>
    <n v="150.19999694824199"/>
    <n v="151.30000305175699"/>
    <n v="148.41000366210901"/>
    <x v="9"/>
    <x v="9"/>
    <n v="152.65400085449178"/>
    <n v="2.5498713535583004"/>
    <n v="148.47999572753901"/>
    <n v="58867200"/>
  </r>
  <r>
    <x v="0"/>
    <x v="10"/>
    <n v="148.86999511718699"/>
    <n v="149.94999694824199"/>
    <n v="147.16000366210901"/>
    <x v="10"/>
    <x v="10"/>
    <n v="151.79600219726518"/>
    <n v="3.0019148239896594"/>
    <n v="148.91000366210901"/>
    <n v="51011300"/>
  </r>
  <r>
    <x v="0"/>
    <x v="11"/>
    <n v="150.08999633789"/>
    <n v="150.33999633789"/>
    <n v="147.24000549316401"/>
    <x v="11"/>
    <x v="11"/>
    <n v="150.61000061035119"/>
    <n v="2.3592728745810545"/>
    <n v="149.39999389648401"/>
    <n v="48394200"/>
  </r>
  <r>
    <x v="0"/>
    <x v="12"/>
    <n v="147.11000061035099"/>
    <n v="147.19000244140599"/>
    <n v="145.72000122070301"/>
    <x v="12"/>
    <x v="12"/>
    <n v="149.21000061035119"/>
    <n v="2.125122851608511"/>
    <n v="146.71000671386699"/>
    <n v="55469600"/>
  </r>
  <r>
    <x v="0"/>
    <x v="13"/>
    <n v="147.71000671386699"/>
    <n v="149.169998168945"/>
    <n v="147.44999694824199"/>
    <x v="13"/>
    <x v="13"/>
    <n v="148.2839996337888"/>
    <n v="1.0350953440359374"/>
    <n v="147.919998168945"/>
    <n v="44998500"/>
  </r>
  <r>
    <x v="0"/>
    <x v="14"/>
    <n v="147.05000305175699"/>
    <n v="149.08000183105401"/>
    <n v="146.83000183105401"/>
    <x v="14"/>
    <x v="14"/>
    <n v="148.07000122070281"/>
    <n v="1.0934083604388207"/>
    <n v="147.41000366210901"/>
    <n v="50547000"/>
  </r>
  <r>
    <x v="0"/>
    <x v="15"/>
    <n v="146.83000183105401"/>
    <n v="147.22999572753901"/>
    <n v="145.009994506835"/>
    <x v="15"/>
    <x v="15"/>
    <n v="147.3499999999996"/>
    <n v="1.5084905282210612"/>
    <n v="145.30999755859301"/>
    <n v="55479000"/>
  </r>
  <r>
    <x v="0"/>
    <x v="16"/>
    <n v="144.38000488281199"/>
    <n v="146.71000671386699"/>
    <n v="143.89999389648401"/>
    <x v="16"/>
    <x v="16"/>
    <n v="146.65200195312462"/>
    <n v="1.0650449292446627"/>
    <n v="145.91000366210901"/>
    <n v="52238100"/>
  </r>
  <r>
    <x v="0"/>
    <x v="17"/>
    <n v="148.03999328613199"/>
    <n v="151.11000061035099"/>
    <n v="147.33000183105401"/>
    <x v="17"/>
    <x v="17"/>
    <n v="147.51600036621039"/>
    <n v="2.2342956481776959"/>
    <n v="151.02999877929599"/>
    <n v="70732300"/>
  </r>
  <r>
    <x v="0"/>
    <x v="18"/>
    <n v="153.78999328613199"/>
    <n v="156.30000305175699"/>
    <n v="153.46000671386699"/>
    <x v="18"/>
    <x v="18"/>
    <n v="148.6980010986322"/>
    <n v="3.6292588702814919"/>
    <n v="153.83000183105401"/>
    <n v="87558000"/>
  </r>
  <r>
    <x v="0"/>
    <x v="19"/>
    <n v="153.69999694824199"/>
    <n v="154.02999877929599"/>
    <n v="151.13000488281199"/>
    <x v="19"/>
    <x v="19"/>
    <n v="149.53600158691339"/>
    <n v="3.7395705418585297"/>
    <n v="151.600006103515"/>
    <n v="56182000"/>
  </r>
  <r>
    <x v="0"/>
    <x v="20"/>
    <n v="152.80999755859301"/>
    <n v="153.47000122070301"/>
    <n v="151.83000183105401"/>
    <x v="20"/>
    <x v="20"/>
    <n v="151.04800109863223"/>
    <n v="3.0725901754660088"/>
    <n v="152.86999511718699"/>
    <n v="47204800"/>
  </r>
  <r>
    <x v="0"/>
    <x v="21"/>
    <n v="153.55999755859301"/>
    <n v="154.53999328613199"/>
    <n v="150.22999572753901"/>
    <x v="21"/>
    <x v="21"/>
    <n v="151.98399963378839"/>
    <n v="1.3410374677420289"/>
    <n v="150.58999633789"/>
    <n v="53833600"/>
  </r>
  <r>
    <x v="0"/>
    <x v="22"/>
    <n v="150.21000671386699"/>
    <n v="150.94000244140599"/>
    <n v="147.61000061035099"/>
    <x v="22"/>
    <x v="22"/>
    <n v="151.47799987792919"/>
    <n v="2.0701137053776431"/>
    <n v="148.5"/>
    <n v="68572400"/>
  </r>
  <r>
    <x v="0"/>
    <x v="23"/>
    <n v="147.80999755859301"/>
    <n v="153.13999938964801"/>
    <n v="147.69999694824199"/>
    <x v="23"/>
    <x v="23"/>
    <n v="150.80599975585898"/>
    <n v="1.6099464508116803"/>
    <n v="150.47000122070301"/>
    <n v="84457100"/>
  </r>
  <r>
    <x v="0"/>
    <x v="24"/>
    <n v="151.27999877929599"/>
    <n v="153.39999389648401"/>
    <n v="150.100006103515"/>
    <x v="24"/>
    <x v="24"/>
    <n v="151.00399780273401"/>
    <n v="1.7835282370678349"/>
    <n v="152.58999633789"/>
    <n v="73695900"/>
  </r>
  <r>
    <x v="0"/>
    <x v="25"/>
    <n v="151.19000244140599"/>
    <n v="153.25"/>
    <n v="149.919998168945"/>
    <x v="25"/>
    <x v="25"/>
    <n v="151.0279998779294"/>
    <n v="1.815440164292542"/>
    <n v="152.99000549316401"/>
    <n v="77167900"/>
  </r>
  <r>
    <x v="0"/>
    <x v="26"/>
    <n v="152.16000366210901"/>
    <n v="156.46000671386699"/>
    <n v="151.63999938964801"/>
    <x v="26"/>
    <x v="26"/>
    <n v="152.0800018310544"/>
    <n v="2.7708143366216031"/>
    <n v="155.850006103515"/>
    <n v="76161100"/>
  </r>
  <r>
    <x v="0"/>
    <x v="27"/>
    <n v="156.08000183105401"/>
    <n v="156.74000549316401"/>
    <n v="154.27999877929599"/>
    <x v="27"/>
    <x v="27"/>
    <n v="153.38000183105441"/>
    <n v="2.119529697150055"/>
    <n v="155"/>
    <n v="98944600"/>
  </r>
  <r>
    <x v="0"/>
    <x v="28"/>
    <n v="155.07000732421801"/>
    <n v="157.82000732421801"/>
    <n v="154.14999389648401"/>
    <x v="28"/>
    <x v="28"/>
    <n v="154.76600036621059"/>
    <n v="2.0035529382199919"/>
    <n v="157.39999389648401"/>
    <n v="73641400"/>
  </r>
  <r>
    <x v="0"/>
    <x v="29"/>
    <n v="157.32000732421801"/>
    <n v="159.39999389648401"/>
    <n v="156.53999328613199"/>
    <x v="29"/>
    <x v="29"/>
    <n v="156.1040008544918"/>
    <n v="2.3846833706944288"/>
    <n v="159.27999877929599"/>
    <n v="73938300"/>
  </r>
  <r>
    <x v="0"/>
    <x v="30"/>
    <n v="159.30000305175699"/>
    <n v="162.13999938964801"/>
    <n v="157.80999755859301"/>
    <x v="30"/>
    <x v="30"/>
    <n v="157.0720001220698"/>
    <n v="1.6840322491293851"/>
    <n v="157.83000183105401"/>
    <n v="75701800"/>
  </r>
  <r>
    <x v="0"/>
    <x v="31"/>
    <n v="158.83000183105401"/>
    <n v="161.55000305175699"/>
    <n v="157.67999267578099"/>
    <x v="31"/>
    <x v="31"/>
    <n v="157.68799743652301"/>
    <n v="1.688598676094017"/>
    <n v="158.92999267578099"/>
    <n v="67622100"/>
  </r>
  <r>
    <x v="0"/>
    <x v="32"/>
    <n v="158.86000061035099"/>
    <n v="160.33999633789"/>
    <n v="157.850006103515"/>
    <x v="32"/>
    <x v="32"/>
    <n v="158.73799743652302"/>
    <n v="1.1436224106030768"/>
    <n v="160.25"/>
    <n v="59196500"/>
  </r>
  <r>
    <x v="0"/>
    <x v="33"/>
    <n v="159.94000244140599"/>
    <n v="160.77000427246"/>
    <n v="157.86999511718699"/>
    <x v="33"/>
    <x v="33"/>
    <n v="158.91399841308538"/>
    <n v="0.93489524149027536"/>
    <n v="158.27999877929599"/>
    <n v="52390300"/>
  </r>
  <r>
    <x v="0"/>
    <x v="34"/>
    <n v="157.97000122070301"/>
    <n v="158.49000549316401"/>
    <n v="155.97999572753901"/>
    <x v="34"/>
    <x v="34"/>
    <n v="158.58799743652301"/>
    <n v="1.0521982247382007"/>
    <n v="157.64999389648401"/>
    <n v="45992200"/>
  </r>
  <r>
    <x v="0"/>
    <x v="35"/>
    <n v="159.36999511718699"/>
    <n v="161.05000305175699"/>
    <n v="159.350006103515"/>
    <x v="35"/>
    <x v="35"/>
    <n v="159.17599792480422"/>
    <n v="1.3120935598919512"/>
    <n v="160.77000427246"/>
    <n v="51305700"/>
  </r>
  <r>
    <x v="0"/>
    <x v="36"/>
    <n v="161.52999877929599"/>
    <n v="162.47000122070301"/>
    <n v="161.27000427246"/>
    <x v="36"/>
    <x v="36"/>
    <n v="159.86199951171821"/>
    <n v="1.9111986861927346"/>
    <n v="162.36000061035099"/>
    <n v="49501700"/>
  </r>
  <r>
    <x v="0"/>
    <x v="37"/>
    <n v="162.44000244140599"/>
    <n v="165"/>
    <n v="161.91000366210901"/>
    <x v="37"/>
    <x v="37"/>
    <n v="160.79199829101501"/>
    <n v="2.9798102316664616"/>
    <n v="164.89999389648401"/>
    <n v="68749800"/>
  </r>
  <r>
    <x v="0"/>
    <x v="38"/>
    <n v="164.27000427246"/>
    <n v="166.28999328613199"/>
    <n v="164.22000122070301"/>
    <x v="38"/>
    <x v="38"/>
    <n v="162.36999816894479"/>
    <n v="3.3793268239910872"/>
    <n v="166.169998168945"/>
    <n v="56976200"/>
  </r>
  <r>
    <x v="0"/>
    <x v="39"/>
    <n v="166.600006103515"/>
    <n v="166.83999633789"/>
    <n v="165.11000061035099"/>
    <x v="39"/>
    <x v="39"/>
    <n v="163.96600036621038"/>
    <n v="2.3071891723161038"/>
    <n v="165.63000488281199"/>
    <n v="46278300"/>
  </r>
  <r>
    <x v="0"/>
    <x v="40"/>
    <n v="164.74000549316401"/>
    <n v="165.05000305175699"/>
    <n v="161.80000305175699"/>
    <x v="40"/>
    <x v="40"/>
    <n v="164.56399841308539"/>
    <n v="1.5274592113955361"/>
    <n v="163.759994506835"/>
    <n v="51511700"/>
  </r>
  <r>
    <x v="0"/>
    <x v="41"/>
    <n v="162.42999267578099"/>
    <n v="164.96000671386699"/>
    <n v="162"/>
    <x v="41"/>
    <x v="41"/>
    <n v="165.023999023437"/>
    <n v="0.92549101233764908"/>
    <n v="164.66000366210901"/>
    <n v="45390100"/>
  </r>
  <r>
    <x v="0"/>
    <x v="42"/>
    <n v="161.419998168945"/>
    <n v="162.02999877929599"/>
    <n v="160.08000183105401"/>
    <x v="42"/>
    <x v="42"/>
    <n v="164.44999999999942"/>
    <n v="1.6376370363682724"/>
    <n v="162.02999877929599"/>
    <n v="47716900"/>
  </r>
  <r>
    <x v="0"/>
    <x v="43"/>
    <n v="162.350006103515"/>
    <n v="162.36000061035099"/>
    <n v="160.509994506835"/>
    <x v="43"/>
    <x v="43"/>
    <n v="163.37600097656178"/>
    <n v="1.9573026567714491"/>
    <n v="160.80000305175699"/>
    <n v="47644200"/>
  </r>
  <r>
    <x v="0"/>
    <x v="44"/>
    <n v="161.22000122070301"/>
    <n v="162.05999755859301"/>
    <n v="159.77999877929599"/>
    <x v="44"/>
    <x v="44"/>
    <n v="162.2700012207024"/>
    <n v="1.9274053971499363"/>
    <n v="160.100006103515"/>
    <n v="50133100"/>
  </r>
  <r>
    <x v="0"/>
    <x v="45"/>
    <n v="161.63000488281199"/>
    <n v="165.80000305175699"/>
    <n v="161.419998168945"/>
    <x v="45"/>
    <x v="45"/>
    <n v="162.63000183105402"/>
    <n v="2.3882818077645593"/>
    <n v="165.55999755859301"/>
    <n v="68445600"/>
  </r>
  <r>
    <x v="0"/>
    <x v="46"/>
    <n v="164.58999633789"/>
    <n v="166.32000732421801"/>
    <n v="163.82000732421801"/>
    <x v="46"/>
    <x v="46"/>
    <n v="162.74000244140558"/>
    <n v="2.5144868792191066"/>
    <n v="165.21000671386699"/>
    <n v="49386500"/>
  </r>
  <r>
    <x v="0"/>
    <x v="47"/>
    <n v="165.08999633789"/>
    <n v="165.38999938964801"/>
    <n v="164.02999877929599"/>
    <x v="47"/>
    <x v="47"/>
    <n v="163.38000183105419"/>
    <n v="2.6897277898556791"/>
    <n v="165.22999572753901"/>
    <n v="41516200"/>
  </r>
  <r>
    <x v="0"/>
    <x v="48"/>
    <n v="166.100006103515"/>
    <n v="167.41000366210901"/>
    <n v="165.64999389648401"/>
    <x v="48"/>
    <x v="48"/>
    <n v="164.5140014648434"/>
    <n v="2.5199438988682044"/>
    <n v="166.47000122070301"/>
    <n v="49923000"/>
  </r>
  <r>
    <x v="0"/>
    <x v="49"/>
    <n v="165.80000305175699"/>
    <n v="168.16000366210901"/>
    <n v="165.53999328613199"/>
    <x v="49"/>
    <x v="49"/>
    <n v="166.0200012207028"/>
    <n v="1.0351829477793726"/>
    <n v="167.63000488281199"/>
    <n v="47720200"/>
  </r>
  <r>
    <x v="0"/>
    <x v="50"/>
    <n v="166.08999633789"/>
    <n v="167.86999511718699"/>
    <n v="165.55999755859301"/>
    <x v="50"/>
    <x v="50"/>
    <n v="166.23800048828099"/>
    <n v="1.0288444902599654"/>
    <n v="166.64999389648401"/>
    <n v="52456400"/>
  </r>
  <r>
    <x v="0"/>
    <x v="51"/>
    <n v="165.05000305175699"/>
    <n v="166.44999694824199"/>
    <n v="164.49000549316401"/>
    <x v="51"/>
    <x v="51"/>
    <n v="166.19999999999962"/>
    <n v="1.0786110671281541"/>
    <n v="165.02000427246"/>
    <n v="58337300"/>
  </r>
  <r>
    <x v="0"/>
    <x v="52"/>
    <n v="165"/>
    <n v="165.600006103515"/>
    <n v="163.88999938964801"/>
    <x v="52"/>
    <x v="52"/>
    <n v="166.22000122070261"/>
    <n v="1.0568343789064314"/>
    <n v="165.33000183105401"/>
    <n v="41949600"/>
  </r>
  <r>
    <x v="0"/>
    <x v="53"/>
    <n v="165.19000244140599"/>
    <n v="166.30999755859301"/>
    <n v="163.72999572753901"/>
    <x v="53"/>
    <x v="53"/>
    <n v="165.680001831054"/>
    <n v="1.4957927630564096"/>
    <n v="163.77000427246"/>
    <n v="48714100"/>
  </r>
  <r>
    <x v="0"/>
    <x v="54"/>
    <n v="163.05999755859301"/>
    <n v="165.27999877929599"/>
    <n v="162.80000305175699"/>
    <x v="40"/>
    <x v="54"/>
    <n v="164.9059997558586"/>
    <n v="1.2081084513820499"/>
    <n v="163.759994506835"/>
    <n v="45498800"/>
  </r>
  <r>
    <x v="0"/>
    <x v="55"/>
    <n v="165.19000244140599"/>
    <n v="168.55999755859301"/>
    <n v="165.19000244140599"/>
    <x v="54"/>
    <x v="55"/>
    <n v="165.25800170898361"/>
    <n v="1.9009934941147362"/>
    <n v="168.41000366210901"/>
    <n v="64902300"/>
  </r>
  <r>
    <x v="0"/>
    <x v="56"/>
    <n v="168.49000549316401"/>
    <n v="169.850006103515"/>
    <n v="167.88000488281199"/>
    <x v="55"/>
    <x v="56"/>
    <n v="166.18999938964782"/>
    <n v="2.7207245361068306"/>
    <n v="169.67999267578099"/>
    <n v="55209200"/>
  </r>
  <r>
    <x v="0"/>
    <x v="57"/>
    <n v="169.27999877929599"/>
    <n v="170.44999694824199"/>
    <n v="168.63999938964801"/>
    <x v="56"/>
    <x v="57"/>
    <n v="167.04199829101498"/>
    <n v="3.0331601018207612"/>
    <n v="169.58999633789"/>
    <n v="52472900"/>
  </r>
  <r>
    <x v="0"/>
    <x v="58"/>
    <n v="170.08999633789"/>
    <n v="170.350006103515"/>
    <n v="167.53999328613199"/>
    <x v="57"/>
    <x v="58"/>
    <n v="167.9959960937494"/>
    <n v="2.4386331172879858"/>
    <n v="168.53999328613199"/>
    <n v="48425700"/>
  </r>
  <r>
    <x v="0"/>
    <x v="59"/>
    <n v="169.5"/>
    <n v="170.919998168945"/>
    <n v="167.16000366210901"/>
    <x v="58"/>
    <x v="59"/>
    <n v="168.73399658203078"/>
    <n v="0.92451445932047083"/>
    <n v="167.44999694824199"/>
    <n v="65136000"/>
  </r>
  <r>
    <x v="0"/>
    <x v="60"/>
    <n v="164.88999938964801"/>
    <n v="167.03999328613199"/>
    <n v="164.30999755859301"/>
    <x v="59"/>
    <x v="60"/>
    <n v="168.20999450683539"/>
    <n v="1.6285116718977359"/>
    <n v="165.78999328613199"/>
    <n v="81235400"/>
  </r>
  <r>
    <x v="0"/>
    <x v="61"/>
    <n v="170.97999572753901"/>
    <n v="174.30000305175699"/>
    <n v="170.759994506835"/>
    <x v="60"/>
    <x v="61"/>
    <n v="168.98799743652279"/>
    <n v="2.9219257799788596"/>
    <n v="173.57000732421801"/>
    <n v="113316400"/>
  </r>
  <r>
    <x v="1"/>
    <x v="0"/>
    <n v="260.52999877929602"/>
    <n v="268.76998901367102"/>
    <n v="260.079986572265"/>
    <x v="61"/>
    <x v="62"/>
    <s v=""/>
    <s v=""/>
    <n v="266.891510009765"/>
    <n v="50841400"/>
  </r>
  <r>
    <x v="1"/>
    <x v="1"/>
    <n v="273.20001220703102"/>
    <n v="276.760009765625"/>
    <n v="266.20999145507801"/>
    <x v="62"/>
    <x v="63"/>
    <s v=""/>
    <s v=""/>
    <n v="266.06359863281199"/>
    <n v="54686000"/>
  </r>
  <r>
    <x v="1"/>
    <x v="2"/>
    <n v="273.79998779296801"/>
    <n v="273.98001098632801"/>
    <n v="262.79998779296801"/>
    <x v="63"/>
    <x v="64"/>
    <s v=""/>
    <s v=""/>
    <n v="262.96136474609301"/>
    <n v="42375100"/>
  </r>
  <r>
    <x v="1"/>
    <x v="3"/>
    <n v="261.52999877929602"/>
    <n v="264.08999633789"/>
    <n v="260.66000366210898"/>
    <x v="64"/>
    <x v="65"/>
    <s v=""/>
    <s v=""/>
    <n v="262.44265747070301"/>
    <n v="25818500"/>
  </r>
  <r>
    <x v="1"/>
    <x v="4"/>
    <n v="267.64001464843699"/>
    <n v="274.600006103515"/>
    <n v="267.14999389648398"/>
    <x v="65"/>
    <x v="66"/>
    <n v="266.46600341796818"/>
    <n v="3.3263184704257807"/>
    <n v="270.64212036132801"/>
    <n v="44630900"/>
  </r>
  <r>
    <x v="1"/>
    <x v="5"/>
    <n v="272.67001342773398"/>
    <n v="274.97000122070301"/>
    <n v="269.27999877929602"/>
    <x v="66"/>
    <x v="67"/>
    <n v="267.3880065917964"/>
    <n v="4.223329137535436"/>
    <n v="271.49002075195301"/>
    <n v="37047900"/>
  </r>
  <r>
    <x v="1"/>
    <x v="6"/>
    <n v="268.32000732421801"/>
    <n v="270.73001098632801"/>
    <n v="266.17999267578102"/>
    <x v="67"/>
    <x v="68"/>
    <n v="267.90600585937443"/>
    <n v="4.2808903403097247"/>
    <n v="269.32000732421801"/>
    <n v="28922400"/>
  </r>
  <r>
    <x v="1"/>
    <x v="7"/>
    <n v="264.01998901367102"/>
    <n v="266.739990234375"/>
    <n v="261.89999389648398"/>
    <x v="68"/>
    <x v="69"/>
    <n v="267.61200561523378"/>
    <n v="4.6806434744607115"/>
    <n v="262.14999389648398"/>
    <n v="29603600"/>
  </r>
  <r>
    <x v="1"/>
    <x v="8"/>
    <n v="259.39001464843699"/>
    <n v="260.08999633789"/>
    <n v="256"/>
    <x v="69"/>
    <x v="70"/>
    <n v="266.60400390624943"/>
    <n v="6.193465799410073"/>
    <n v="258.05999755859301"/>
    <n v="30000100"/>
  </r>
  <r>
    <x v="1"/>
    <x v="9"/>
    <n v="254.47999572753901"/>
    <n v="255.49000549316401"/>
    <n v="251.58999633789"/>
    <x v="70"/>
    <x v="71"/>
    <n v="262.87400207519482"/>
    <n v="7.9966763999869945"/>
    <n v="252.669998168945"/>
    <n v="28397400"/>
  </r>
  <r>
    <x v="1"/>
    <x v="10"/>
    <n v="254.08999633789"/>
    <n v="254.33999633789"/>
    <n v="250.33999633789"/>
    <x v="71"/>
    <x v="72"/>
    <n v="258.74199829101502"/>
    <n v="7.2997414058522718"/>
    <n v="251.509994506835"/>
    <n v="22491100"/>
  </r>
  <r>
    <x v="1"/>
    <x v="11"/>
    <n v="255.55999755859301"/>
    <n v="256.83999633789"/>
    <n v="250.47999572753901"/>
    <x v="72"/>
    <x v="73"/>
    <n v="255.83199768066339"/>
    <n v="4.3210774693626801"/>
    <n v="254.77000427246"/>
    <n v="29219100"/>
  </r>
  <r>
    <x v="1"/>
    <x v="12"/>
    <n v="249.96000671386699"/>
    <n v="251"/>
    <n v="248.100006103515"/>
    <x v="73"/>
    <x v="74"/>
    <n v="253.24599914550723"/>
    <n v="3.3560140371127307"/>
    <n v="249.22000122070301"/>
    <n v="24990900"/>
  </r>
  <r>
    <x v="1"/>
    <x v="13"/>
    <n v="252.46000671386699"/>
    <n v="252.82000732421801"/>
    <n v="249.38999938964801"/>
    <x v="74"/>
    <x v="75"/>
    <n v="251.6660003662104"/>
    <n v="2.1747486957494235"/>
    <n v="250.16000366210901"/>
    <n v="21190000"/>
  </r>
  <r>
    <x v="1"/>
    <x v="14"/>
    <n v="249.07000732421801"/>
    <n v="251.49000549316401"/>
    <n v="248.72999572753901"/>
    <x v="75"/>
    <x v="76"/>
    <n v="251.01600036621039"/>
    <n v="2.2826597337798948"/>
    <n v="249.419998168945"/>
    <n v="22491000"/>
  </r>
  <r>
    <x v="1"/>
    <x v="15"/>
    <n v="250.759994506835"/>
    <n v="250.92999267578099"/>
    <n v="245.78999328613199"/>
    <x v="76"/>
    <x v="77"/>
    <n v="249.9680023193354"/>
    <n v="3.0672092780137277"/>
    <n v="246.27000427246"/>
    <n v="27565300"/>
  </r>
  <r>
    <x v="1"/>
    <x v="16"/>
    <n v="246.55000305175699"/>
    <n v="251.39999389648401"/>
    <n v="245.61000061035099"/>
    <x v="77"/>
    <x v="78"/>
    <n v="249.2360015869136"/>
    <n v="1.8163770945259277"/>
    <n v="251.11000061035099"/>
    <n v="24808200"/>
  </r>
  <r>
    <x v="1"/>
    <x v="17"/>
    <n v="252.19000244140599"/>
    <n v="255.61999511718699"/>
    <n v="251.38999938964801"/>
    <x v="78"/>
    <x v="79"/>
    <n v="250.44999999999942"/>
    <n v="3.2587766778994656"/>
    <n v="255.28999328613199"/>
    <n v="30760100"/>
  </r>
  <r>
    <x v="1"/>
    <x v="18"/>
    <n v="256.42999267578102"/>
    <n v="260.11999511718699"/>
    <n v="255.97999572753901"/>
    <x v="79"/>
    <x v="80"/>
    <n v="251.79199829101498"/>
    <n v="4.3187366239724749"/>
    <n v="256.86999511718699"/>
    <n v="24109800"/>
  </r>
  <r>
    <x v="1"/>
    <x v="19"/>
    <n v="256.29998779296801"/>
    <n v="257.69000244140602"/>
    <n v="253.38999938964801"/>
    <x v="80"/>
    <x v="81"/>
    <n v="252.73799743652279"/>
    <n v="4.1852458377247181"/>
    <n v="254.14999389648401"/>
    <n v="21473200"/>
  </r>
  <r>
    <x v="1"/>
    <x v="20"/>
    <n v="254.03999328613199"/>
    <n v="254.53999328613199"/>
    <n v="250.80999755859301"/>
    <x v="81"/>
    <x v="82"/>
    <n v="254.22399597167924"/>
    <n v="2.1280672067934341"/>
    <n v="253.69999694824199"/>
    <n v="17340200"/>
  </r>
  <r>
    <x v="1"/>
    <x v="21"/>
    <n v="255.82000732421801"/>
    <n v="259.55999755859301"/>
    <n v="251.58000183105401"/>
    <x v="82"/>
    <x v="83"/>
    <n v="254.46599731445258"/>
    <n v="1.7139182124802006"/>
    <n v="252.32000732421801"/>
    <n v="26653400"/>
  </r>
  <r>
    <x v="1"/>
    <x v="22"/>
    <n v="251.08000183105401"/>
    <n v="252.78999328613199"/>
    <n v="247.600006103515"/>
    <x v="83"/>
    <x v="84"/>
    <n v="253.12599792480418"/>
    <n v="3.0257432496089138"/>
    <n v="248.58999633789"/>
    <n v="28333900"/>
  </r>
  <r>
    <x v="1"/>
    <x v="23"/>
    <n v="247.39999389648401"/>
    <n v="257.91000366210898"/>
    <n v="245.72999572753901"/>
    <x v="84"/>
    <x v="85"/>
    <n v="252.53599853515578"/>
    <n v="2.3180225334546289"/>
    <n v="253.919998168945"/>
    <n v="33339700"/>
  </r>
  <r>
    <x v="1"/>
    <x v="24"/>
    <n v="256.75"/>
    <n v="261.07000732421801"/>
    <n v="255.86000061035099"/>
    <x v="85"/>
    <x v="86"/>
    <n v="253.8640014648432"/>
    <n v="4.4215001744610829"/>
    <n v="260.79000854492102"/>
    <n v="33620300"/>
  </r>
  <r>
    <x v="1"/>
    <x v="25"/>
    <n v="259.98001098632801"/>
    <n v="266.48001098632801"/>
    <n v="259.20999145507801"/>
    <x v="86"/>
    <x v="87"/>
    <n v="256.21200256347601"/>
    <n v="6.7935633231583799"/>
    <n v="265.44000244140602"/>
    <n v="46028000"/>
  </r>
  <r>
    <x v="1"/>
    <x v="26"/>
    <n v="265.20999145507801"/>
    <n v="276.55999755859301"/>
    <n v="263.27999877929602"/>
    <x v="87"/>
    <x v="88"/>
    <n v="260.98800354003862"/>
    <n v="10.664567342734275"/>
    <n v="276.20001220703102"/>
    <n v="54768800"/>
  </r>
  <r>
    <x v="1"/>
    <x v="27"/>
    <n v="278.260009765625"/>
    <n v="283.329986572265"/>
    <n v="276.32000732421801"/>
    <x v="88"/>
    <x v="89"/>
    <n v="267.1560028076168"/>
    <n v="10.619643265017702"/>
    <n v="279.42999267578102"/>
    <n v="69527400"/>
  </r>
  <r>
    <x v="1"/>
    <x v="28"/>
    <n v="276.98001098632801"/>
    <n v="277.48001098632801"/>
    <n v="269.850006103515"/>
    <x v="89"/>
    <x v="90"/>
    <n v="270.81800537109336"/>
    <n v="7.6584874262657676"/>
    <n v="272.23001098632801"/>
    <n v="43466600"/>
  </r>
  <r>
    <x v="1"/>
    <x v="29"/>
    <n v="274.88000488281199"/>
    <n v="275"/>
    <n v="269.51998901367102"/>
    <x v="90"/>
    <x v="91"/>
    <n v="273.4160034179684"/>
    <n v="5.221935320830867"/>
    <n v="273.77999877929602"/>
    <n v="34558700"/>
  </r>
  <r>
    <x v="1"/>
    <x v="30"/>
    <n v="273.39999389648398"/>
    <n v="281.04000854492102"/>
    <n v="272.17999267578102"/>
    <x v="91"/>
    <x v="92"/>
    <n v="274.78600463867144"/>
    <n v="3.0553719140282256"/>
    <n v="272.29000854492102"/>
    <n v="34873300"/>
  </r>
  <r>
    <x v="1"/>
    <x v="31"/>
    <n v="277.94000244140602"/>
    <n v="281.05999755859301"/>
    <n v="275.20001220703102"/>
    <x v="92"/>
    <x v="93"/>
    <n v="275.07800292968699"/>
    <n v="3.28539678371166"/>
    <n v="277.66000366210898"/>
    <n v="36610900"/>
  </r>
  <r>
    <x v="1"/>
    <x v="32"/>
    <n v="277.239990234375"/>
    <n v="280.63000488281199"/>
    <n v="275.27999877929602"/>
    <x v="93"/>
    <x v="94"/>
    <n v="275.30600585937441"/>
    <n v="3.6789162448132022"/>
    <n v="280.57000732421801"/>
    <n v="28172000"/>
  </r>
  <r>
    <x v="1"/>
    <x v="33"/>
    <n v="280.5"/>
    <n v="281.45999145507801"/>
    <n v="275.51998901367102"/>
    <x v="94"/>
    <x v="95"/>
    <n v="276.13600463867124"/>
    <n v="3.2551858057785346"/>
    <n v="276.38000488281199"/>
    <n v="26840200"/>
  </r>
  <r>
    <x v="1"/>
    <x v="34"/>
    <n v="275.79000854492102"/>
    <n v="276.14001464843699"/>
    <n v="272.04998779296801"/>
    <x v="95"/>
    <x v="96"/>
    <n v="276.42600708007757"/>
    <n v="3.0510036188578913"/>
    <n v="275.23001098632801"/>
    <n v="21878600"/>
  </r>
  <r>
    <x v="1"/>
    <x v="35"/>
    <n v="278.95999145507801"/>
    <n v="281.14001464843699"/>
    <n v="278.41000366210898"/>
    <x v="96"/>
    <x v="97"/>
    <n v="278.07000732421841"/>
    <n v="2.4131619489894276"/>
    <n v="280.510009765625"/>
    <n v="25087000"/>
  </r>
  <r>
    <x v="1"/>
    <x v="36"/>
    <n v="284.23001098632801"/>
    <n v="284.45999145507801"/>
    <n v="281.48001098632801"/>
    <x v="97"/>
    <x v="98"/>
    <n v="279.34800415039024"/>
    <n v="3.5608666899141093"/>
    <n v="284.04998779296801"/>
    <n v="25053400"/>
  </r>
  <r>
    <x v="1"/>
    <x v="37"/>
    <n v="283.73001098632801"/>
    <n v="289.26998901367102"/>
    <n v="283"/>
    <x v="98"/>
    <x v="99"/>
    <n v="280.89400024414022"/>
    <n v="5.4178705711756248"/>
    <n v="288.29998779296801"/>
    <n v="32766000"/>
  </r>
  <r>
    <x v="1"/>
    <x v="38"/>
    <n v="286.51998901367102"/>
    <n v="288.26998901367102"/>
    <n v="283.95001220703102"/>
    <x v="99"/>
    <x v="100"/>
    <n v="283.06400146484339"/>
    <n v="5.3300477863196312"/>
    <n v="287.23001098632801"/>
    <n v="24883300"/>
  </r>
  <r>
    <x v="1"/>
    <x v="39"/>
    <n v="287.23001098632801"/>
    <n v="290.45001220703102"/>
    <n v="285.67001342773398"/>
    <x v="100"/>
    <x v="101"/>
    <n v="285.45399780273408"/>
    <n v="3.1877579100833757"/>
    <n v="287.17999267578102"/>
    <n v="25824300"/>
  </r>
  <r>
    <x v="1"/>
    <x v="40"/>
    <n v="285.850006103515"/>
    <n v="287.14999389648398"/>
    <n v="282.92001342773398"/>
    <x v="101"/>
    <x v="102"/>
    <n v="286.21999511718701"/>
    <n v="1.9046931575091088"/>
    <n v="284.33999633789"/>
    <n v="22064800"/>
  </r>
  <r>
    <x v="1"/>
    <x v="41"/>
    <n v="283.20999145507801"/>
    <n v="292.079986572265"/>
    <n v="282.02999877929602"/>
    <x v="102"/>
    <x v="103"/>
    <n v="287.72999877929635"/>
    <n v="2.6146919142116372"/>
    <n v="291.600006103515"/>
    <n v="29770300"/>
  </r>
  <r>
    <x v="1"/>
    <x v="42"/>
    <n v="289.20999145507801"/>
    <n v="289.600006103515"/>
    <n v="284.70999145507801"/>
    <x v="103"/>
    <x v="104"/>
    <n v="287.9480041503902"/>
    <n v="2.7175167306724339"/>
    <n v="289.39001464843699"/>
    <n v="23103000"/>
  </r>
  <r>
    <x v="1"/>
    <x v="43"/>
    <n v="285.75"/>
    <n v="285.98001098632801"/>
    <n v="281.64001464843699"/>
    <x v="104"/>
    <x v="105"/>
    <n v="287.06799926757759"/>
    <n v="3.5828108903285285"/>
    <n v="282.829986572265"/>
    <n v="27276600"/>
  </r>
  <r>
    <x v="1"/>
    <x v="44"/>
    <n v="284.79000854492102"/>
    <n v="287.010009765625"/>
    <n v="281.95999145507801"/>
    <x v="105"/>
    <x v="106"/>
    <n v="286.32999877929637"/>
    <n v="3.918306969154814"/>
    <n v="283.489990234375"/>
    <n v="27403400"/>
  </r>
  <r>
    <x v="1"/>
    <x v="45"/>
    <n v="283.58999633789"/>
    <n v="289.89999389648398"/>
    <n v="283.17001342773398"/>
    <x v="106"/>
    <x v="107"/>
    <n v="287.4299987792964"/>
    <n v="3.991318427620075"/>
    <n v="289.83999633789"/>
    <n v="24222700"/>
  </r>
  <r>
    <x v="1"/>
    <x v="46"/>
    <n v="287"/>
    <n v="288.48001098632801"/>
    <n v="283.69000244140602"/>
    <x v="107"/>
    <x v="108"/>
    <n v="286.33800048828078"/>
    <n v="3.2417313197798214"/>
    <n v="286.14001464843699"/>
    <n v="20987900"/>
  </r>
  <r>
    <x v="1"/>
    <x v="47"/>
    <n v="289.92999267578102"/>
    <n v="291.600006103515"/>
    <n v="286.16000366210898"/>
    <x v="108"/>
    <x v="109"/>
    <n v="286.21999511718701"/>
    <n v="3.1109585546571448"/>
    <n v="288.79998779296801"/>
    <n v="23836200"/>
  </r>
  <r>
    <x v="1"/>
    <x v="48"/>
    <n v="291.57000732421801"/>
    <n v="291.760009765625"/>
    <n v="287.010009765625"/>
    <x v="109"/>
    <x v="110"/>
    <n v="287.32799682617144"/>
    <n v="2.5349682268705029"/>
    <n v="288.36999511718699"/>
    <n v="20161800"/>
  </r>
  <r>
    <x v="1"/>
    <x v="49"/>
    <n v="285.989990234375"/>
    <n v="289.04998779296801"/>
    <n v="284.54000854492102"/>
    <x v="110"/>
    <x v="111"/>
    <n v="288.32000122070264"/>
    <n v="1.3520832044791833"/>
    <n v="288.45001220703102"/>
    <n v="17150300"/>
  </r>
  <r>
    <x v="1"/>
    <x v="50"/>
    <n v="285.25"/>
    <n v="289.02999877929602"/>
    <n v="285.079986572265"/>
    <x v="111"/>
    <x v="112"/>
    <n v="287.57399902343701"/>
    <n v="1.3326387883906377"/>
    <n v="286.10998535156199"/>
    <n v="23244400"/>
  </r>
  <r>
    <x v="1"/>
    <x v="51"/>
    <n v="285.010009765625"/>
    <n v="286.26998901367102"/>
    <n v="283.05999755859301"/>
    <x v="112"/>
    <x v="113"/>
    <n v="287.49799804687461"/>
    <n v="1.4412728453362007"/>
    <n v="285.760009765625"/>
    <n v="21676400"/>
  </r>
  <r>
    <x v="1"/>
    <x v="52"/>
    <n v="282.08999633789"/>
    <n v="284.95001220703102"/>
    <n v="278.72000122070301"/>
    <x v="113"/>
    <x v="114"/>
    <n v="286.09199829101522"/>
    <n v="2.7175265995459932"/>
    <n v="281.76998901367102"/>
    <n v="26611000"/>
  </r>
  <r>
    <x v="1"/>
    <x v="53"/>
    <n v="279.510009765625"/>
    <n v="281.600006103515"/>
    <n v="275.36999511718699"/>
    <x v="114"/>
    <x v="115"/>
    <n v="283.50200195312459"/>
    <n v="5.1161848458490358"/>
    <n v="275.42001342773398"/>
    <n v="45772200"/>
  </r>
  <r>
    <x v="1"/>
    <x v="54"/>
    <n v="296.70001220703102"/>
    <n v="299.57000732421801"/>
    <n v="292.73001098632801"/>
    <x v="115"/>
    <x v="116"/>
    <n v="284.88599853515581"/>
    <n v="7.2713584198841348"/>
    <n v="295.36999511718699"/>
    <n v="64599200"/>
  </r>
  <r>
    <x v="1"/>
    <x v="55"/>
    <n v="295.97000122070301"/>
    <n v="305.20001220703102"/>
    <n v="295.25"/>
    <x v="116"/>
    <x v="117"/>
    <n v="288.62999877929639"/>
    <n v="11.593828520366708"/>
    <n v="304.829986572265"/>
    <n v="46462600"/>
  </r>
  <r>
    <x v="1"/>
    <x v="56"/>
    <n v="304.010009765625"/>
    <n v="308.92999267578102"/>
    <n v="303.30999755859301"/>
    <x v="117"/>
    <x v="118"/>
    <n v="292.9299987792964"/>
    <n v="14.000517056976896"/>
    <n v="307.260009765625"/>
    <n v="36446700"/>
  </r>
  <r>
    <x v="1"/>
    <x v="57"/>
    <n v="306.97000122070301"/>
    <n v="308.600006103515"/>
    <n v="305.14999389648398"/>
    <x v="118"/>
    <x v="119"/>
    <n v="297.68800048828081"/>
    <n v="13.283787687755815"/>
    <n v="305.55999755859301"/>
    <n v="21294100"/>
  </r>
  <r>
    <x v="1"/>
    <x v="58"/>
    <n v="307.760009765625"/>
    <n v="309.17999267578102"/>
    <n v="303.91000366210898"/>
    <x v="119"/>
    <x v="120"/>
    <n v="303.68599853515582"/>
    <n v="4.7360913148355355"/>
    <n v="305.41000366210898"/>
    <n v="26404400"/>
  </r>
  <r>
    <x v="1"/>
    <x v="59"/>
    <n v="306.61999511718699"/>
    <n v="308.60998535156199"/>
    <n v="304.08999633789"/>
    <x v="120"/>
    <x v="121"/>
    <n v="305.49199829101519"/>
    <n v="1.0917811945795968"/>
    <n v="304.39999389648398"/>
    <n v="22360800"/>
  </r>
  <r>
    <x v="1"/>
    <x v="60"/>
    <n v="306.239990234375"/>
    <n v="307.760009765625"/>
    <n v="303.39999389648398"/>
    <x v="119"/>
    <x v="122"/>
    <n v="305.60800170898398"/>
    <n v="1.0330929708713625"/>
    <n v="305.41000366210898"/>
    <n v="22519900"/>
  </r>
  <r>
    <x v="1"/>
    <x v="61"/>
    <n v="305.72000122070301"/>
    <n v="311.97000122070301"/>
    <n v="304.26998901367102"/>
    <x v="121"/>
    <x v="61"/>
    <n v="306.28599853515573"/>
    <n v="2.4831069481581056"/>
    <n v="310.64999389648398"/>
    <n v="28181200"/>
  </r>
  <r>
    <x v="2"/>
    <x v="0"/>
    <n v="358.510009765625"/>
    <n v="364.17999267578102"/>
    <n v="354.17999267578102"/>
    <x v="122"/>
    <x v="123"/>
    <s v=""/>
    <s v=""/>
    <n v="362.95001220703102"/>
    <n v="6289400"/>
  </r>
  <r>
    <x v="2"/>
    <x v="1"/>
    <n v="360.01998901367102"/>
    <n v="368.19000244140602"/>
    <n v="358.30999755859301"/>
    <x v="123"/>
    <x v="124"/>
    <s v=""/>
    <s v=""/>
    <n v="366.829986572265"/>
    <n v="6253200"/>
  </r>
  <r>
    <x v="2"/>
    <x v="2"/>
    <n v="372.41000366210898"/>
    <n v="373.829986572265"/>
    <n v="361.739990234375"/>
    <x v="124"/>
    <x v="125"/>
    <s v=""/>
    <s v=""/>
    <n v="362.5"/>
    <n v="6901100"/>
  </r>
  <r>
    <x v="2"/>
    <x v="3"/>
    <n v="359.16000366210898"/>
    <n v="362.14001464843699"/>
    <n v="347.14001464843699"/>
    <x v="125"/>
    <x v="126"/>
    <s v=""/>
    <s v=""/>
    <n v="347.35998535156199"/>
    <n v="7291100"/>
  </r>
  <r>
    <x v="2"/>
    <x v="4"/>
    <n v="349.5"/>
    <n v="359.70001220703102"/>
    <n v="344.25"/>
    <x v="126"/>
    <x v="127"/>
    <n v="359.64199829101523"/>
    <n v="7.462829755633746"/>
    <n v="358.57000732421801"/>
    <n v="7134400"/>
  </r>
  <r>
    <x v="2"/>
    <x v="5"/>
    <n v="357.54998779296801"/>
    <n v="363.75"/>
    <n v="353.39999389648398"/>
    <x v="127"/>
    <x v="128"/>
    <n v="359.04399414062465"/>
    <n v="7.2481968552651797"/>
    <n v="359.95999145507801"/>
    <n v="4624800"/>
  </r>
  <r>
    <x v="2"/>
    <x v="6"/>
    <n v="356.63000488281199"/>
    <n v="362.88000488281199"/>
    <n v="354.239990234375"/>
    <x v="128"/>
    <x v="129"/>
    <n v="357.96199951171837"/>
    <n v="6.1097393199904397"/>
    <n v="361.42001342773398"/>
    <n v="3966000"/>
  </r>
  <r>
    <x v="2"/>
    <x v="7"/>
    <n v="355"/>
    <n v="361.5"/>
    <n v="350.30999755859301"/>
    <x v="129"/>
    <x v="130"/>
    <n v="355.603997802734"/>
    <n v="6.1950175616582248"/>
    <n v="350.70999145507801"/>
    <n v="5215700"/>
  </r>
  <r>
    <x v="2"/>
    <x v="8"/>
    <n v="347.91000366210898"/>
    <n v="349"/>
    <n v="342.44000244140602"/>
    <x v="130"/>
    <x v="131"/>
    <n v="355.72399902343722"/>
    <n v="5.9980842908400733"/>
    <n v="347.95999145507801"/>
    <n v="5294700"/>
  </r>
  <r>
    <x v="2"/>
    <x v="9"/>
    <n v="342.850006103515"/>
    <n v="344.13000488281199"/>
    <n v="336.42001342773398"/>
    <x v="131"/>
    <x v="132"/>
    <n v="351.50999755859368"/>
    <n v="9.7356740402205428"/>
    <n v="337.5"/>
    <n v="5710300"/>
  </r>
  <r>
    <x v="2"/>
    <x v="10"/>
    <n v="337.5"/>
    <n v="341.91000366210898"/>
    <n v="332.82000732421801"/>
    <x v="132"/>
    <x v="133"/>
    <n v="346.49400024414047"/>
    <n v="10.706149054662632"/>
    <n v="334.88000488281199"/>
    <n v="4546200"/>
  </r>
  <r>
    <x v="2"/>
    <x v="11"/>
    <n v="331.23001098632801"/>
    <n v="331.27999877929602"/>
    <n v="314.29998779296801"/>
    <x v="133"/>
    <x v="134"/>
    <n v="338.93999633789042"/>
    <n v="10.86547734454601"/>
    <n v="323.64999389648398"/>
    <n v="13238700"/>
  </r>
  <r>
    <x v="2"/>
    <x v="12"/>
    <n v="319.29998779296801"/>
    <n v="321.5"/>
    <n v="314.51998901367102"/>
    <x v="134"/>
    <x v="135"/>
    <n v="332.22799682617153"/>
    <n v="12.075296329807815"/>
    <n v="317.14999389648398"/>
    <n v="6830700"/>
  </r>
  <r>
    <x v="2"/>
    <x v="13"/>
    <n v="323.86999511718699"/>
    <n v="330"/>
    <n v="322.11999511718699"/>
    <x v="135"/>
    <x v="136"/>
    <n v="327.24199829101519"/>
    <n v="8.6031641259794345"/>
    <n v="323.02999877929602"/>
    <n v="6142600"/>
  </r>
  <r>
    <x v="2"/>
    <x v="14"/>
    <n v="323.70001220703102"/>
    <n v="327.61999511718699"/>
    <n v="321.17001342773398"/>
    <x v="136"/>
    <x v="137"/>
    <n v="324.16799926757756"/>
    <n v="6.5137596570194995"/>
    <n v="322.13000488281199"/>
    <n v="3676100"/>
  </r>
  <r>
    <x v="2"/>
    <x v="15"/>
    <n v="321.54998779296801"/>
    <n v="326.600006103515"/>
    <n v="312.35998535156199"/>
    <x v="137"/>
    <x v="138"/>
    <n v="319.8880004882808"/>
    <n v="4.4048365725377341"/>
    <n v="313.48001098632801"/>
    <n v="4911300"/>
  </r>
  <r>
    <x v="2"/>
    <x v="16"/>
    <n v="310.95999145507801"/>
    <n v="315.57000732421801"/>
    <n v="310.38000488281199"/>
    <x v="138"/>
    <x v="139"/>
    <n v="317.5340026855464"/>
    <n v="4.9969793841008485"/>
    <n v="311.88000488281199"/>
    <n v="4911000"/>
  </r>
  <r>
    <x v="2"/>
    <x v="17"/>
    <n v="315.45001220703102"/>
    <n v="317.489990234375"/>
    <n v="310.82000732421801"/>
    <x v="139"/>
    <x v="140"/>
    <n v="317.14000244140578"/>
    <n v="5.1111870263814385"/>
    <n v="315.17999267578102"/>
    <n v="5953300"/>
  </r>
  <r>
    <x v="2"/>
    <x v="18"/>
    <n v="317"/>
    <n v="323.29998779296801"/>
    <n v="311.83999633789"/>
    <x v="140"/>
    <x v="141"/>
    <n v="314.9400024414058"/>
    <n v="4.2342948598619996"/>
    <n v="312.02999877929602"/>
    <n v="5660700"/>
  </r>
  <r>
    <x v="2"/>
    <x v="19"/>
    <n v="312.67999267578102"/>
    <n v="314.29998779296801"/>
    <n v="306.61999511718699"/>
    <x v="141"/>
    <x v="142"/>
    <n v="312.208001708984"/>
    <n v="2.4780361437899598"/>
    <n v="308.47000122070301"/>
    <n v="4553100"/>
  </r>
  <r>
    <x v="2"/>
    <x v="20"/>
    <n v="309.29000854492102"/>
    <n v="311.829986572265"/>
    <n v="305.75"/>
    <x v="142"/>
    <x v="143"/>
    <n v="311.87000122070259"/>
    <n v="2.374244171988189"/>
    <n v="311.79000854492102"/>
    <n v="3479500"/>
  </r>
  <r>
    <x v="2"/>
    <x v="21"/>
    <n v="312.079986572265"/>
    <n v="312.510009765625"/>
    <n v="294.88000488281199"/>
    <x v="143"/>
    <x v="144"/>
    <n v="309.04999999999939"/>
    <n v="6.7326476191508444"/>
    <n v="297.77999877929602"/>
    <n v="7443400"/>
  </r>
  <r>
    <x v="2"/>
    <x v="22"/>
    <n v="297.89999389648398"/>
    <n v="298.79000854492102"/>
    <n v="289"/>
    <x v="144"/>
    <x v="145"/>
    <n v="304.5660034179682"/>
    <n v="8.7830806205335836"/>
    <n v="292.760009765625"/>
    <n v="5759300"/>
  </r>
  <r>
    <x v="2"/>
    <x v="23"/>
    <n v="287.33999633789"/>
    <n v="299.239990234375"/>
    <n v="285.329986572265"/>
    <x v="145"/>
    <x v="146"/>
    <n v="300.86200561523401"/>
    <n v="8.753510596049475"/>
    <n v="293.510009765625"/>
    <n v="6292400"/>
  </r>
  <r>
    <x v="2"/>
    <x v="24"/>
    <n v="295.97000122070301"/>
    <n v="297.45001220703102"/>
    <n v="290.30999755859301"/>
    <x v="146"/>
    <x v="147"/>
    <n v="298.1560058593746"/>
    <n v="7.8592643117062702"/>
    <n v="294.94000244140602"/>
    <n v="5956700"/>
  </r>
  <r>
    <x v="2"/>
    <x v="25"/>
    <n v="292.510009765625"/>
    <n v="306.30999755859301"/>
    <n v="292.27999877929602"/>
    <x v="147"/>
    <x v="148"/>
    <n v="296.55600585937458"/>
    <n v="4.4757150019940051"/>
    <n v="303.79000854492102"/>
    <n v="9215300"/>
  </r>
  <r>
    <x v="2"/>
    <x v="26"/>
    <n v="304.75"/>
    <n v="316.600006103515"/>
    <n v="301.70999145507801"/>
    <x v="148"/>
    <x v="149"/>
    <n v="299.01200561523399"/>
    <n v="7.596513316267723"/>
    <n v="310.05999755859301"/>
    <n v="7903700"/>
  </r>
  <r>
    <x v="2"/>
    <x v="27"/>
    <n v="310.05999755859301"/>
    <n v="310.760009765625"/>
    <n v="300"/>
    <x v="149"/>
    <x v="150"/>
    <n v="301.16000366210903"/>
    <n v="6.8704661723968927"/>
    <n v="303.5"/>
    <n v="6918800"/>
  </r>
  <r>
    <x v="2"/>
    <x v="28"/>
    <n v="299.79000854492102"/>
    <n v="307.5"/>
    <n v="296"/>
    <x v="150"/>
    <x v="151"/>
    <n v="303.48400268554644"/>
    <n v="5.4554300351954517"/>
    <n v="305.13000488281199"/>
    <n v="5113400"/>
  </r>
  <r>
    <x v="2"/>
    <x v="29"/>
    <n v="306.32000732421801"/>
    <n v="307.92001342773398"/>
    <n v="300.42999267578102"/>
    <x v="151"/>
    <x v="152"/>
    <n v="305.65400390624939"/>
    <n v="2.6372364246492546"/>
    <n v="305.79000854492102"/>
    <n v="4886300"/>
  </r>
  <r>
    <x v="2"/>
    <x v="30"/>
    <n v="306.30999755859301"/>
    <n v="306.45001220703102"/>
    <n v="293.54000854492102"/>
    <x v="152"/>
    <x v="153"/>
    <n v="303.67600097656202"/>
    <n v="5.9778729179228023"/>
    <n v="293.89999389648398"/>
    <n v="5808000"/>
  </r>
  <r>
    <x v="2"/>
    <x v="31"/>
    <n v="304.67999267578102"/>
    <n v="322.77999877929602"/>
    <n v="304.14001464843699"/>
    <x v="153"/>
    <x v="154"/>
    <n v="305.73800048828082"/>
    <n v="9.4817545392128579"/>
    <n v="320.36999511718699"/>
    <n v="15653300"/>
  </r>
  <r>
    <x v="2"/>
    <x v="32"/>
    <n v="320.63000488281199"/>
    <n v="331.829986572265"/>
    <n v="320.63000488281199"/>
    <x v="154"/>
    <x v="155"/>
    <n v="310.71600341796818"/>
    <n v="13.636506242931366"/>
    <n v="328.39001464843699"/>
    <n v="12991700"/>
  </r>
  <r>
    <x v="2"/>
    <x v="33"/>
    <n v="327.54998779296801"/>
    <n v="336.44000244140602"/>
    <n v="324.41000366210898"/>
    <x v="155"/>
    <x v="156"/>
    <n v="315.2220031738276"/>
    <n v="14.984932479775106"/>
    <n v="327.66000366210898"/>
    <n v="8625800"/>
  </r>
  <r>
    <x v="2"/>
    <x v="34"/>
    <n v="326.05999755859301"/>
    <n v="333.32000732421801"/>
    <n v="321.27999877929602"/>
    <x v="156"/>
    <x v="157"/>
    <n v="318.76799926757758"/>
    <n v="14.275997430370181"/>
    <n v="323.51998901367102"/>
    <n v="6489400"/>
  </r>
  <r>
    <x v="2"/>
    <x v="35"/>
    <n v="326.29000854492102"/>
    <n v="332.850006103515"/>
    <n v="325.73001098632801"/>
    <x v="157"/>
    <x v="158"/>
    <n v="326.39400024413999"/>
    <n v="4.5249280648196217"/>
    <n v="332.02999877929602"/>
    <n v="6287300"/>
  </r>
  <r>
    <x v="2"/>
    <x v="36"/>
    <n v="340.26998901367102"/>
    <n v="343.29000854492102"/>
    <n v="335.29998779296801"/>
    <x v="158"/>
    <x v="159"/>
    <n v="330.0059997558588"/>
    <n v="5.5956159099970471"/>
    <n v="338.42999267578102"/>
    <n v="7131500"/>
  </r>
  <r>
    <x v="2"/>
    <x v="37"/>
    <n v="340.04998779296801"/>
    <n v="345.83999633789"/>
    <n v="337.20001220703102"/>
    <x v="159"/>
    <x v="160"/>
    <n v="333.42399902343703"/>
    <n v="8.7129743827280439"/>
    <n v="345.48001098632801"/>
    <n v="5610200"/>
  </r>
  <r>
    <x v="2"/>
    <x v="38"/>
    <n v="341.829986572265"/>
    <n v="348.579986572265"/>
    <n v="340.39999389648398"/>
    <x v="160"/>
    <x v="161"/>
    <n v="337.5479980468744"/>
    <n v="10.076010332348922"/>
    <n v="348.27999877929602"/>
    <n v="4413700"/>
  </r>
  <r>
    <x v="2"/>
    <x v="39"/>
    <n v="348.489990234375"/>
    <n v="349.79998779296801"/>
    <n v="343.95001220703102"/>
    <x v="161"/>
    <x v="162"/>
    <n v="342.19400024414023"/>
    <n v="6.820356612654261"/>
    <n v="346.75"/>
    <n v="3298100"/>
  </r>
  <r>
    <x v="2"/>
    <x v="40"/>
    <n v="345.29998779296801"/>
    <n v="345.42999267578102"/>
    <n v="336.25"/>
    <x v="162"/>
    <x v="163"/>
    <n v="344.25800170898401"/>
    <n v="3.9206491526125018"/>
    <n v="342.350006103515"/>
    <n v="4205500"/>
  </r>
  <r>
    <x v="2"/>
    <x v="41"/>
    <n v="339.33999633789"/>
    <n v="340.48001098632801"/>
    <n v="332.63000488281199"/>
    <x v="163"/>
    <x v="164"/>
    <n v="344.43800048828081"/>
    <n v="3.5931742653752159"/>
    <n v="339.329986572265"/>
    <n v="4660500"/>
  </r>
  <r>
    <x v="2"/>
    <x v="42"/>
    <n v="335.26998901367102"/>
    <n v="339.88000488281199"/>
    <n v="333.35998535156199"/>
    <x v="164"/>
    <x v="165"/>
    <n v="343.13999633789018"/>
    <n v="4.2371736211148168"/>
    <n v="338.989990234375"/>
    <n v="2657900"/>
  </r>
  <r>
    <x v="2"/>
    <x v="43"/>
    <n v="343.45001220703102"/>
    <n v="347.14001464843699"/>
    <n v="337.64001464843699"/>
    <x v="165"/>
    <x v="166"/>
    <n v="341.12599487304658"/>
    <n v="3.5149279767449855"/>
    <n v="338.20999145507801"/>
    <n v="4044800"/>
  </r>
  <r>
    <x v="2"/>
    <x v="44"/>
    <n v="340.80999755859301"/>
    <n v="342.79998779296801"/>
    <n v="330.04000854492102"/>
    <x v="166"/>
    <x v="167"/>
    <n v="337.9819946289058"/>
    <n v="4.1921024113224004"/>
    <n v="331.02999877929602"/>
    <n v="3965400"/>
  </r>
  <r>
    <x v="2"/>
    <x v="45"/>
    <n v="339.989990234375"/>
    <n v="346.42999267578102"/>
    <n v="338.75"/>
    <x v="167"/>
    <x v="168"/>
    <n v="338.749993896484"/>
    <n v="5.3767472541678032"/>
    <n v="346.19000244140602"/>
    <n v="7406400"/>
  </r>
  <r>
    <x v="2"/>
    <x v="46"/>
    <n v="342.94000244140602"/>
    <n v="344.850006103515"/>
    <n v="336.41000366210898"/>
    <x v="168"/>
    <x v="169"/>
    <n v="338.60999755859342"/>
    <n v="5.3669743600825166"/>
    <n v="338.63000488281199"/>
    <n v="5350500"/>
  </r>
  <r>
    <x v="2"/>
    <x v="47"/>
    <n v="338"/>
    <n v="338.39001464843699"/>
    <n v="327.5"/>
    <x v="169"/>
    <x v="170"/>
    <n v="337.35599975585899"/>
    <n v="5.9561473518444306"/>
    <n v="332.72000122070301"/>
    <n v="6136000"/>
  </r>
  <r>
    <x v="2"/>
    <x v="48"/>
    <n v="335"/>
    <n v="337.19000244140602"/>
    <n v="330.5"/>
    <x v="170"/>
    <x v="171"/>
    <n v="336.45400390624957"/>
    <n v="6.1333458584776777"/>
    <n v="333.70001220703102"/>
    <n v="17944500"/>
  </r>
  <r>
    <x v="2"/>
    <x v="49"/>
    <n v="324.20999145507801"/>
    <n v="325.75"/>
    <n v="316.100006103515"/>
    <x v="171"/>
    <x v="172"/>
    <n v="334.87200317382786"/>
    <n v="8.4607040614461564"/>
    <n v="323.11999511718699"/>
    <n v="22128300"/>
  </r>
  <r>
    <x v="2"/>
    <x v="50"/>
    <n v="320.39001464843699"/>
    <n v="331.42999267578102"/>
    <n v="318.329986572265"/>
    <x v="172"/>
    <x v="173"/>
    <n v="330.70400390624957"/>
    <n v="6.3648307945885012"/>
    <n v="325.350006103515"/>
    <n v="9947800"/>
  </r>
  <r>
    <x v="2"/>
    <x v="51"/>
    <n v="323"/>
    <n v="328.29000854492102"/>
    <n v="319.5"/>
    <x v="173"/>
    <x v="174"/>
    <n v="328.57400512695278"/>
    <n v="4.5814423526672856"/>
    <n v="327.98001098632801"/>
    <n v="6348000"/>
  </r>
  <r>
    <x v="2"/>
    <x v="52"/>
    <n v="330.20001220703102"/>
    <n v="334.66000366210898"/>
    <n v="326.75"/>
    <x v="174"/>
    <x v="175"/>
    <n v="327.83400268554641"/>
    <n v="4.0071828032496031"/>
    <n v="329.01998901367102"/>
    <n v="5586600"/>
  </r>
  <r>
    <x v="2"/>
    <x v="53"/>
    <n v="328.5"/>
    <n v="328.66000366210898"/>
    <n v="321.100006103515"/>
    <x v="175"/>
    <x v="176"/>
    <n v="325.60399780273383"/>
    <n v="2.8668882462802463"/>
    <n v="322.54998779296801"/>
    <n v="5426600"/>
  </r>
  <r>
    <x v="2"/>
    <x v="54"/>
    <n v="321.35998535156199"/>
    <n v="325.89999389648398"/>
    <n v="320.47000122070301"/>
    <x v="176"/>
    <x v="177"/>
    <n v="325.20999755859322"/>
    <n v="3.3825986075726595"/>
    <n v="321.14999389648398"/>
    <n v="4623200"/>
  </r>
  <r>
    <x v="2"/>
    <x v="55"/>
    <n v="324.29998779296801"/>
    <n v="327.45001220703102"/>
    <n v="317.44000244140602"/>
    <x v="177"/>
    <x v="178"/>
    <n v="325.30999755859318"/>
    <n v="3.3951399788790657"/>
    <n v="325.850006103515"/>
    <n v="5618800"/>
  </r>
  <r>
    <x v="2"/>
    <x v="56"/>
    <n v="325.239990234375"/>
    <n v="330.80999755859301"/>
    <n v="324"/>
    <x v="178"/>
    <x v="179"/>
    <n v="325.69999389648376"/>
    <n v="3.8588469574941189"/>
    <n v="329.92999267578102"/>
    <n v="4221900"/>
  </r>
  <r>
    <x v="2"/>
    <x v="57"/>
    <n v="329.44000244140602"/>
    <n v="331.23001098632801"/>
    <n v="318.08999633789"/>
    <x v="179"/>
    <x v="180"/>
    <n v="324.71999511718701"/>
    <n v="3.3998102848821872"/>
    <n v="324.11999511718699"/>
    <n v="5341500"/>
  </r>
  <r>
    <x v="2"/>
    <x v="58"/>
    <n v="325"/>
    <n v="326.07000732421801"/>
    <n v="315.61999511718699"/>
    <x v="180"/>
    <x v="181"/>
    <n v="323.71999511718701"/>
    <n v="4.6886808681907723"/>
    <n v="317.54998779296801"/>
    <n v="4318600"/>
  </r>
  <r>
    <x v="2"/>
    <x v="59"/>
    <n v="317.54998779296801"/>
    <n v="324.61999511718699"/>
    <n v="315.850006103515"/>
    <x v="181"/>
    <x v="182"/>
    <n v="323.34999389648385"/>
    <n v="5.0045471096313481"/>
    <n v="319.29998779296801"/>
    <n v="5064100"/>
  </r>
  <r>
    <x v="2"/>
    <x v="60"/>
    <n v="319.010009765625"/>
    <n v="323.60998535156199"/>
    <n v="317.95001220703102"/>
    <x v="182"/>
    <x v="183"/>
    <n v="322.33599243164002"/>
    <n v="4.8835383203066796"/>
    <n v="320.77999877929602"/>
    <n v="3879700"/>
  </r>
  <r>
    <x v="2"/>
    <x v="61"/>
    <n v="323.60998535156199"/>
    <n v="324.14999389648398"/>
    <n v="319.44000244140602"/>
    <x v="183"/>
    <x v="61"/>
    <n v="320.9019958496088"/>
    <n v="2.6279747957664696"/>
    <n v="322.760009765625"/>
    <n v="3988600"/>
  </r>
  <r>
    <x v="3"/>
    <x v="0"/>
    <n v="103.629997253417"/>
    <n v="108.669998168945"/>
    <n v="103.54799652099599"/>
    <x v="184"/>
    <x v="184"/>
    <s v=""/>
    <s v=""/>
    <n v="108.040000915527"/>
    <n v="33738800"/>
  </r>
  <r>
    <x v="3"/>
    <x v="1"/>
    <n v="102.69000244140599"/>
    <n v="103.58000183105401"/>
    <n v="98.455001831054602"/>
    <x v="185"/>
    <x v="185"/>
    <s v=""/>
    <s v=""/>
    <n v="100"/>
    <n v="73546000"/>
  </r>
  <r>
    <x v="3"/>
    <x v="2"/>
    <n v="100.540000915527"/>
    <n v="100.61000061035099"/>
    <n v="93.860000610351506"/>
    <x v="186"/>
    <x v="186"/>
    <s v=""/>
    <s v=""/>
    <n v="95.459999084472599"/>
    <n v="97798600"/>
  </r>
  <r>
    <x v="3"/>
    <x v="3"/>
    <n v="95.739997863769503"/>
    <n v="97.019996643066406"/>
    <n v="94.529998779296804"/>
    <x v="187"/>
    <x v="187"/>
    <s v=""/>
    <s v=""/>
    <n v="94.860000610351506"/>
    <n v="49325300"/>
  </r>
  <r>
    <x v="3"/>
    <x v="4"/>
    <n v="95.010002136230398"/>
    <n v="95.349998474121094"/>
    <n v="94.050003051757798"/>
    <x v="188"/>
    <x v="188"/>
    <n v="98.672000122070216"/>
    <n v="5.6536470172213624"/>
    <n v="95"/>
    <n v="43116600"/>
  </r>
  <r>
    <x v="3"/>
    <x v="5"/>
    <n v="94.660003662109304"/>
    <n v="95.175003051757798"/>
    <n v="92.650001525878906"/>
    <x v="189"/>
    <x v="189"/>
    <n v="96.05399932861323"/>
    <n v="2.2180580677935859"/>
    <n v="94.949996948242102"/>
    <n v="42513100"/>
  </r>
  <r>
    <x v="3"/>
    <x v="6"/>
    <n v="94.739997863769503"/>
    <n v="97.339996337890597"/>
    <n v="94.360000610351506"/>
    <x v="190"/>
    <x v="190"/>
    <n v="95.473999023437457"/>
    <n v="0.9381254596554871"/>
    <n v="97.099998474121094"/>
    <n v="36964500"/>
  </r>
  <r>
    <x v="3"/>
    <x v="7"/>
    <n v="95.540000915527301"/>
    <n v="97.879997253417898"/>
    <n v="94.970001220703097"/>
    <x v="191"/>
    <x v="191"/>
    <n v="95.537998962402312"/>
    <n v="0.94779710428613329"/>
    <n v="95.779998779296804"/>
    <n v="35642100"/>
  </r>
  <r>
    <x v="3"/>
    <x v="8"/>
    <n v="95.069999694824205"/>
    <n v="95.75"/>
    <n v="93.449996948242102"/>
    <x v="192"/>
    <x v="192"/>
    <n v="95.483998107910111"/>
    <n v="1.0022130702650975"/>
    <n v="94.589996337890597"/>
    <n v="31095100"/>
  </r>
  <r>
    <x v="3"/>
    <x v="9"/>
    <n v="93.239997863769503"/>
    <n v="93.415000915527301"/>
    <n v="92"/>
    <x v="193"/>
    <x v="193"/>
    <n v="94.89399871826167"/>
    <n v="1.859791361358252"/>
    <n v="92.050003051757798"/>
    <n v="28367200"/>
  </r>
  <r>
    <x v="3"/>
    <x v="10"/>
    <n v="91.933998107910099"/>
    <n v="92.360000610351506"/>
    <n v="90.870002746582003"/>
    <x v="194"/>
    <x v="194"/>
    <n v="94.263999938964815"/>
    <n v="2.3141130430543631"/>
    <n v="91.800003051757798"/>
    <n v="29891100"/>
  </r>
  <r>
    <x v="3"/>
    <x v="11"/>
    <n v="92.129997253417898"/>
    <n v="92.129997253417898"/>
    <n v="90.010002136230398"/>
    <x v="195"/>
    <x v="195"/>
    <n v="93.058000183105449"/>
    <n v="2.0190993980383101"/>
    <n v="91.069999694824205"/>
    <n v="32423700"/>
  </r>
  <r>
    <x v="3"/>
    <x v="12"/>
    <n v="89.629997253417898"/>
    <n v="90.129997253417898"/>
    <n v="88.860000610351506"/>
    <x v="196"/>
    <x v="196"/>
    <n v="91.772000122070295"/>
    <n v="1.8959212172375333"/>
    <n v="89.349998474121094"/>
    <n v="31295600"/>
  </r>
  <r>
    <x v="3"/>
    <x v="13"/>
    <n v="90.089996337890597"/>
    <n v="90.449996948242102"/>
    <n v="89.610000610351506"/>
    <x v="197"/>
    <x v="197"/>
    <n v="90.874000549316392"/>
    <n v="1.1402345946034738"/>
    <n v="90.099998474121094"/>
    <n v="22724300"/>
  </r>
  <r>
    <x v="3"/>
    <x v="14"/>
    <n v="89.540000915527301"/>
    <n v="91.449996948242102"/>
    <n v="89.519996643066406"/>
    <x v="198"/>
    <x v="198"/>
    <n v="90.524000549316412"/>
    <n v="0.94001741531437744"/>
    <n v="90.300003051757798"/>
    <n v="30546900"/>
  </r>
  <r>
    <x v="3"/>
    <x v="15"/>
    <n v="90.160003662109304"/>
    <n v="91.199996948242102"/>
    <n v="89.849998474121094"/>
    <x v="199"/>
    <x v="199"/>
    <n v="90.266000366210932"/>
    <n v="0.62724079532847554"/>
    <n v="90.510002136230398"/>
    <n v="26323900"/>
  </r>
  <r>
    <x v="3"/>
    <x v="16"/>
    <n v="89.860000610351506"/>
    <n v="92.480003356933594"/>
    <n v="89.769996643066406"/>
    <x v="200"/>
    <x v="200"/>
    <n v="90.513999938964815"/>
    <n v="1.0951843135888895"/>
    <n v="92.309997558593693"/>
    <n v="23328600"/>
  </r>
  <r>
    <x v="3"/>
    <x v="17"/>
    <n v="92.739997863769503"/>
    <n v="94.110000610351506"/>
    <n v="92.660003662109304"/>
    <x v="201"/>
    <x v="201"/>
    <n v="91.447999572753886"/>
    <n v="1.6861977658586673"/>
    <n v="94.019996643066406"/>
    <n v="30242500"/>
  </r>
  <r>
    <x v="3"/>
    <x v="18"/>
    <n v="94.360000610351506"/>
    <n v="96.300003051757798"/>
    <n v="94.300003051757798"/>
    <x v="202"/>
    <x v="202"/>
    <n v="92.544000244140577"/>
    <n v="2.2706441797777139"/>
    <n v="95.580001831054602"/>
    <n v="28288200"/>
  </r>
  <r>
    <x v="3"/>
    <x v="19"/>
    <n v="95.419998168945298"/>
    <n v="96.089996337890597"/>
    <n v="93.844001770019503"/>
    <x v="203"/>
    <x v="203"/>
    <n v="93.317999267578074"/>
    <n v="1.9516834640426495"/>
    <n v="94.169998168945298"/>
    <n v="24101500"/>
  </r>
  <r>
    <x v="3"/>
    <x v="20"/>
    <n v="94.404998779296804"/>
    <n v="96.239997863769503"/>
    <n v="94.404998779296804"/>
    <x v="204"/>
    <x v="204"/>
    <n v="94.145999145507787"/>
    <n v="1.1934965974473648"/>
    <n v="94.650001525878906"/>
    <n v="25395200"/>
  </r>
  <r>
    <x v="3"/>
    <x v="21"/>
    <n v="94.489997863769503"/>
    <n v="95.919998168945298"/>
    <n v="92.355003356933594"/>
    <x v="205"/>
    <x v="205"/>
    <n v="94.216000366210906"/>
    <n v="1.0618988190387699"/>
    <n v="92.660003662109304"/>
    <n v="24438900"/>
  </r>
  <r>
    <x v="3"/>
    <x v="22"/>
    <n v="92.5"/>
    <n v="93.180000305175696"/>
    <n v="90.800003051757798"/>
    <x v="206"/>
    <x v="206"/>
    <n v="93.61400146484371"/>
    <n v="1.7985070344885212"/>
    <n v="91.010002136230398"/>
    <n v="32850100"/>
  </r>
  <r>
    <x v="3"/>
    <x v="23"/>
    <n v="90.565002441406193"/>
    <n v="93.080001831054602"/>
    <n v="89.940002441406193"/>
    <x v="207"/>
    <x v="207"/>
    <n v="92.830001831054659"/>
    <n v="1.5666990024140994"/>
    <n v="91.660003662109304"/>
    <n v="31508600"/>
  </r>
  <r>
    <x v="3"/>
    <x v="24"/>
    <n v="93.069999694824205"/>
    <n v="94.830001831054602"/>
    <n v="92.779998779296804"/>
    <x v="208"/>
    <x v="208"/>
    <n v="92.846002197265591"/>
    <n v="1.5841170736655417"/>
    <n v="94.25"/>
    <n v="32303900"/>
  </r>
  <r>
    <x v="3"/>
    <x v="25"/>
    <n v="93.540000915527301"/>
    <n v="97.25"/>
    <n v="93.040000915527301"/>
    <x v="209"/>
    <x v="209"/>
    <n v="93.226002502441361"/>
    <n v="2.223787040449694"/>
    <n v="96.550003051757798"/>
    <n v="38367300"/>
  </r>
  <r>
    <x v="3"/>
    <x v="26"/>
    <n v="96.569999694824205"/>
    <n v="101.970001220703"/>
    <n v="95.870002746582003"/>
    <x v="210"/>
    <x v="210"/>
    <n v="94.908001708984301"/>
    <n v="4.0878859395133018"/>
    <n v="101.06999969482401"/>
    <n v="54499500"/>
  </r>
  <r>
    <x v="3"/>
    <x v="27"/>
    <n v="100.83999633789"/>
    <n v="103.48999786376901"/>
    <n v="100.75"/>
    <x v="211"/>
    <x v="211"/>
    <n v="97.198001098632631"/>
    <n v="4.540402611143568"/>
    <n v="102.459999084472"/>
    <n v="76140300"/>
  </r>
  <r>
    <x v="3"/>
    <x v="28"/>
    <n v="101.059997558593"/>
    <n v="102.58000183105401"/>
    <n v="100.790000915527"/>
    <x v="212"/>
    <x v="212"/>
    <n v="99.252000427245747"/>
    <n v="3.6431050684539703"/>
    <n v="101.930000305175"/>
    <n v="26033900"/>
  </r>
  <r>
    <x v="3"/>
    <x v="29"/>
    <n v="101.980003356933"/>
    <n v="105.959999084472"/>
    <n v="101.86000061035099"/>
    <x v="213"/>
    <x v="213"/>
    <n v="101.56999969482375"/>
    <n v="3.3393463799528851"/>
    <n v="105.83999633789"/>
    <n v="33122800"/>
  </r>
  <r>
    <x v="3"/>
    <x v="30"/>
    <n v="105.139999389648"/>
    <n v="107.51000213623"/>
    <n v="104.209999084472"/>
    <x v="214"/>
    <x v="214"/>
    <n v="103.1039993286128"/>
    <n v="1.914504138782543"/>
    <n v="104.220001220703"/>
    <n v="32336900"/>
  </r>
  <r>
    <x v="3"/>
    <x v="31"/>
    <n v="105.889999389648"/>
    <n v="107.10099792480401"/>
    <n v="105.41000366210901"/>
    <x v="215"/>
    <x v="215"/>
    <n v="104.14199981689401"/>
    <n v="1.9427608275812414"/>
    <n v="106.26000213623"/>
    <n v="31385800"/>
  </r>
  <r>
    <x v="3"/>
    <x v="32"/>
    <n v="105.73999786376901"/>
    <n v="106.16000366210901"/>
    <n v="104.73999786376901"/>
    <x v="216"/>
    <x v="216"/>
    <n v="104.86199951171821"/>
    <n v="1.8272157510332638"/>
    <n v="106.059997558593"/>
    <n v="25245000"/>
  </r>
  <r>
    <x v="3"/>
    <x v="33"/>
    <n v="105.31999969482401"/>
    <n v="105.400001525878"/>
    <n v="102.629997253417"/>
    <x v="217"/>
    <x v="217"/>
    <n v="105.0879989624018"/>
    <n v="1.3919485026974661"/>
    <n v="103.059997558593"/>
    <n v="25393400"/>
  </r>
  <r>
    <x v="3"/>
    <x v="34"/>
    <n v="103"/>
    <n v="103"/>
    <n v="100.27999877929599"/>
    <x v="218"/>
    <x v="218"/>
    <n v="104.19199981689398"/>
    <n v="2.065700961722539"/>
    <n v="101.36000061035099"/>
    <n v="24913500"/>
  </r>
  <r>
    <x v="3"/>
    <x v="35"/>
    <n v="102.720001220703"/>
    <n v="102.81999969482401"/>
    <n v="101.02999877929599"/>
    <x v="219"/>
    <x v="219"/>
    <n v="103.72799987792901"/>
    <n v="2.3045864175407407"/>
    <n v="101.900001525878"/>
    <n v="26148300"/>
  </r>
  <r>
    <x v="3"/>
    <x v="36"/>
    <n v="101.44000244140599"/>
    <n v="101.61000061035099"/>
    <n v="100.290000915527"/>
    <x v="220"/>
    <x v="220"/>
    <n v="102.73999938964781"/>
    <n v="1.9843877421780447"/>
    <n v="101.31999969482401"/>
    <n v="25009800"/>
  </r>
  <r>
    <x v="3"/>
    <x v="37"/>
    <n v="101.709999084472"/>
    <n v="104.19000244140599"/>
    <n v="101.44000244140599"/>
    <x v="221"/>
    <x v="221"/>
    <n v="102.3279998779292"/>
    <n v="1.1691529576185211"/>
    <n v="104"/>
    <n v="28086500"/>
  </r>
  <r>
    <x v="3"/>
    <x v="38"/>
    <n v="102.669998168945"/>
    <n v="104.949996948242"/>
    <n v="102.379997253417"/>
    <x v="222"/>
    <x v="222"/>
    <n v="102.6980010986324"/>
    <n v="1.6518242168618389"/>
    <n v="104.91000366210901"/>
    <n v="20719900"/>
  </r>
  <r>
    <x v="3"/>
    <x v="39"/>
    <n v="104.83999633789"/>
    <n v="106.09999847412099"/>
    <n v="104.59999847412099"/>
    <x v="223"/>
    <x v="223"/>
    <n v="103.4500015258786"/>
    <n v="1.743732809003566"/>
    <n v="105.120002746582"/>
    <n v="20377200"/>
  </r>
  <r>
    <x v="3"/>
    <x v="40"/>
    <n v="106.120002746582"/>
    <n v="106.540000915527"/>
    <n v="104.101997375488"/>
    <x v="224"/>
    <x v="224"/>
    <n v="104.06000061035141"/>
    <n v="1.5929067995807906"/>
    <n v="104.949996948242"/>
    <n v="21864200"/>
  </r>
  <r>
    <x v="3"/>
    <x v="41"/>
    <n v="105.76999664306599"/>
    <n v="109.629997253417"/>
    <n v="104.81500244140599"/>
    <x v="225"/>
    <x v="225"/>
    <n v="105.5760009765622"/>
    <n v="1.9089346886453307"/>
    <n v="108.900001525878"/>
    <n v="34684200"/>
  </r>
  <r>
    <x v="3"/>
    <x v="42"/>
    <n v="107.389999389648"/>
    <n v="107.970001220703"/>
    <n v="105.59999847412099"/>
    <x v="226"/>
    <x v="226"/>
    <n v="106.1660003662106"/>
    <n v="1.7492652768515173"/>
    <n v="106.949996948242"/>
    <n v="19741500"/>
  </r>
  <r>
    <x v="3"/>
    <x v="43"/>
    <n v="106.919998168945"/>
    <n v="107.220001220703"/>
    <n v="105.27999877929599"/>
    <x v="227"/>
    <x v="227"/>
    <n v="106.4080001831052"/>
    <n v="1.6102394650024876"/>
    <n v="106.120002746582"/>
    <n v="18721300"/>
  </r>
  <r>
    <x v="3"/>
    <x v="44"/>
    <n v="107.389999389648"/>
    <n v="107.58699798583901"/>
    <n v="104.970001220703"/>
    <x v="228"/>
    <x v="228"/>
    <n v="106.42799987792941"/>
    <n v="1.5907457950454456"/>
    <n v="105.220001220703"/>
    <n v="22761600"/>
  </r>
  <r>
    <x v="3"/>
    <x v="45"/>
    <n v="106.470001220703"/>
    <n v="108.264999389648"/>
    <n v="106.44000244140599"/>
    <x v="229"/>
    <x v="229"/>
    <n v="107.0760009765622"/>
    <n v="1.4952024939958848"/>
    <n v="108.19000244140599"/>
    <n v="21650700"/>
  </r>
  <r>
    <x v="3"/>
    <x v="46"/>
    <n v="107.69000244140599"/>
    <n v="109.58000183105401"/>
    <n v="107.58999633789"/>
    <x v="230"/>
    <x v="230"/>
    <n v="107.18800048828101"/>
    <n v="1.6760274098066683"/>
    <n v="109.459999084472"/>
    <n v="20745400"/>
  </r>
  <r>
    <x v="3"/>
    <x v="47"/>
    <n v="105.430000305175"/>
    <n v="106.709999084472"/>
    <n v="105.31999969482401"/>
    <x v="231"/>
    <x v="231"/>
    <n v="107.08200073242158"/>
    <n v="1.7112330094055073"/>
    <n v="106.419998168945"/>
    <n v="29043400"/>
  </r>
  <r>
    <x v="3"/>
    <x v="48"/>
    <n v="107"/>
    <n v="107.050003051757"/>
    <n v="104.77999877929599"/>
    <x v="223"/>
    <x v="232"/>
    <n v="106.8820007324216"/>
    <n v="1.8998203613496796"/>
    <n v="105.120002746582"/>
    <n v="17641400"/>
  </r>
  <r>
    <x v="3"/>
    <x v="49"/>
    <n v="104.21499633789"/>
    <n v="105.72499847412099"/>
    <n v="103.800003051757"/>
    <x v="232"/>
    <x v="233"/>
    <n v="106.84199981689419"/>
    <n v="1.9451276376631614"/>
    <n v="105.01999664306599"/>
    <n v="16732000"/>
  </r>
  <r>
    <x v="3"/>
    <x v="50"/>
    <n v="104.650001525878"/>
    <n v="106.88800048828099"/>
    <n v="104.639999389648"/>
    <x v="233"/>
    <x v="234"/>
    <n v="106.3839996337886"/>
    <n v="1.8135266039658218"/>
    <n v="105.900001525878"/>
    <n v="22515300"/>
  </r>
  <r>
    <x v="3"/>
    <x v="51"/>
    <n v="106.08999633789"/>
    <n v="106.639999389648"/>
    <n v="105.48500061035099"/>
    <x v="234"/>
    <x v="235"/>
    <n v="105.67400054931599"/>
    <n v="0.59116855336939689"/>
    <n v="105.91000366210901"/>
    <n v="22369800"/>
  </r>
  <r>
    <x v="3"/>
    <x v="52"/>
    <n v="106.050003051757"/>
    <n v="107.31999969482401"/>
    <n v="105.36000061035099"/>
    <x v="235"/>
    <x v="236"/>
    <n v="105.7460006713862"/>
    <n v="0.71391886484172518"/>
    <n v="106.77999877929599"/>
    <n v="21410900"/>
  </r>
  <r>
    <x v="3"/>
    <x v="53"/>
    <n v="106.61000061035099"/>
    <n v="107.44000244140599"/>
    <n v="104.559997558593"/>
    <x v="236"/>
    <x v="237"/>
    <n v="105.64400024413999"/>
    <n v="0.84931191021443642"/>
    <n v="104.61000061035099"/>
    <n v="31408100"/>
  </r>
  <r>
    <x v="3"/>
    <x v="54"/>
    <n v="105.559997558593"/>
    <n v="107.01999664306599"/>
    <n v="103.26999664306599"/>
    <x v="237"/>
    <x v="238"/>
    <n v="105.53000030517519"/>
    <n v="0.98191220704430104"/>
    <n v="104.449996948242"/>
    <n v="37068200"/>
  </r>
  <r>
    <x v="3"/>
    <x v="55"/>
    <n v="105.230003356933"/>
    <n v="109.150001525878"/>
    <n v="104.419998168945"/>
    <x v="238"/>
    <x v="239"/>
    <n v="106.024000549316"/>
    <n v="1.6252029171144777"/>
    <n v="108.370002746582"/>
    <n v="38235200"/>
  </r>
  <r>
    <x v="3"/>
    <x v="56"/>
    <n v="107.800003051757"/>
    <n v="108.290000915527"/>
    <n v="106.040000915527"/>
    <x v="239"/>
    <x v="240"/>
    <n v="106.48600006103479"/>
    <n v="1.8912524951395868"/>
    <n v="108.220001220703"/>
    <n v="23957900"/>
  </r>
  <r>
    <x v="3"/>
    <x v="57"/>
    <n v="107.720001220703"/>
    <n v="108.680000305175"/>
    <n v="107.5"/>
    <x v="240"/>
    <x v="241"/>
    <n v="106.67200012206999"/>
    <n v="1.9714272907589925"/>
    <n v="107.709999084472"/>
    <n v="20926300"/>
  </r>
  <r>
    <x v="3"/>
    <x v="58"/>
    <n v="107.66000366210901"/>
    <n v="107.730003356933"/>
    <n v="104.5"/>
    <x v="241"/>
    <x v="242"/>
    <n v="106.9460006713864"/>
    <n v="1.6880268275785471"/>
    <n v="105.980003356933"/>
    <n v="20343100"/>
  </r>
  <r>
    <x v="3"/>
    <x v="59"/>
    <n v="106.220001220703"/>
    <n v="108.129997253417"/>
    <n v="105.620002746582"/>
    <x v="227"/>
    <x v="243"/>
    <n v="107.28000183105442"/>
    <n v="1.1502382791222221"/>
    <n v="106.120002746582"/>
    <n v="17116300"/>
  </r>
  <r>
    <x v="3"/>
    <x v="60"/>
    <n v="106.16000366210901"/>
    <n v="106.300003051757"/>
    <n v="104.699996948242"/>
    <x v="242"/>
    <x v="244"/>
    <n v="106.64800109863241"/>
    <n v="1.2641080987330695"/>
    <n v="105.209999084472"/>
    <n v="19780600"/>
  </r>
  <r>
    <x v="3"/>
    <x v="61"/>
    <n v="105.31999969482401"/>
    <n v="106.44000244140599"/>
    <n v="104.738998413085"/>
    <x v="243"/>
    <x v="61"/>
    <n v="106.24700012206981"/>
    <n v="0.90886976021663346"/>
    <n v="106.21499633789"/>
    <n v="20705300"/>
  </r>
  <r>
    <x v="4"/>
    <x v="62"/>
    <m/>
    <m/>
    <m/>
    <x v="244"/>
    <x v="24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2AAD30-AB8A-4D01-A8FF-5BD309FDBB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rowPageCount="1" colPageCount="1"/>
  <pivotFields count="13">
    <pivotField name="Company" axis="axisPage" multipleItemSelectionAllowed="1" showAll="0">
      <items count="6">
        <item x="0"/>
        <item x="3"/>
        <item x="1"/>
        <item x="2"/>
        <item x="4"/>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 dataField="1" showAll="0">
      <items count="246">
        <item x="196"/>
        <item x="197"/>
        <item x="198"/>
        <item x="199"/>
        <item x="206"/>
        <item x="195"/>
        <item x="207"/>
        <item x="194"/>
        <item x="193"/>
        <item x="200"/>
        <item x="205"/>
        <item x="201"/>
        <item x="203"/>
        <item x="208"/>
        <item x="192"/>
        <item x="204"/>
        <item x="187"/>
        <item x="189"/>
        <item x="188"/>
        <item x="186"/>
        <item x="202"/>
        <item x="191"/>
        <item x="209"/>
        <item x="190"/>
        <item x="185"/>
        <item x="210"/>
        <item x="220"/>
        <item x="218"/>
        <item x="219"/>
        <item x="212"/>
        <item x="211"/>
        <item x="217"/>
        <item x="221"/>
        <item x="214"/>
        <item x="237"/>
        <item x="236"/>
        <item x="222"/>
        <item x="224"/>
        <item x="232"/>
        <item x="223"/>
        <item x="242"/>
        <item x="228"/>
        <item x="213"/>
        <item x="233"/>
        <item x="234"/>
        <item x="241"/>
        <item x="216"/>
        <item x="227"/>
        <item x="243"/>
        <item x="215"/>
        <item x="231"/>
        <item x="235"/>
        <item x="226"/>
        <item x="240"/>
        <item x="184"/>
        <item x="229"/>
        <item x="239"/>
        <item x="238"/>
        <item x="225"/>
        <item x="230"/>
        <item x="15"/>
        <item x="16"/>
        <item x="12"/>
        <item x="14"/>
        <item x="13"/>
        <item x="9"/>
        <item x="22"/>
        <item x="10"/>
        <item x="11"/>
        <item x="23"/>
        <item x="21"/>
        <item x="2"/>
        <item x="3"/>
        <item x="17"/>
        <item x="19"/>
        <item x="1"/>
        <item x="8"/>
        <item x="24"/>
        <item x="20"/>
        <item x="25"/>
        <item x="5"/>
        <item x="7"/>
        <item x="18"/>
        <item x="4"/>
        <item x="0"/>
        <item x="27"/>
        <item x="6"/>
        <item x="26"/>
        <item x="28"/>
        <item x="34"/>
        <item x="30"/>
        <item x="33"/>
        <item x="31"/>
        <item x="29"/>
        <item x="44"/>
        <item x="32"/>
        <item x="35"/>
        <item x="43"/>
        <item x="42"/>
        <item x="36"/>
        <item x="40"/>
        <item x="53"/>
        <item x="41"/>
        <item x="37"/>
        <item x="51"/>
        <item x="46"/>
        <item x="47"/>
        <item x="52"/>
        <item x="45"/>
        <item x="39"/>
        <item x="59"/>
        <item x="38"/>
        <item x="48"/>
        <item x="50"/>
        <item x="58"/>
        <item x="49"/>
        <item x="54"/>
        <item x="57"/>
        <item x="56"/>
        <item x="55"/>
        <item x="60"/>
        <item x="76"/>
        <item x="83"/>
        <item x="73"/>
        <item x="75"/>
        <item x="74"/>
        <item x="77"/>
        <item x="71"/>
        <item x="82"/>
        <item x="70"/>
        <item x="81"/>
        <item x="84"/>
        <item x="80"/>
        <item x="72"/>
        <item x="78"/>
        <item x="79"/>
        <item x="69"/>
        <item x="85"/>
        <item x="68"/>
        <item x="64"/>
        <item x="63"/>
        <item x="86"/>
        <item x="62"/>
        <item x="61"/>
        <item x="67"/>
        <item x="65"/>
        <item x="66"/>
        <item x="89"/>
        <item x="91"/>
        <item x="90"/>
        <item x="95"/>
        <item x="114"/>
        <item x="87"/>
        <item x="94"/>
        <item x="92"/>
        <item x="88"/>
        <item x="96"/>
        <item x="93"/>
        <item x="113"/>
        <item x="104"/>
        <item x="105"/>
        <item x="97"/>
        <item x="101"/>
        <item x="112"/>
        <item x="111"/>
        <item x="107"/>
        <item x="100"/>
        <item x="99"/>
        <item x="98"/>
        <item x="109"/>
        <item x="110"/>
        <item x="108"/>
        <item x="103"/>
        <item x="106"/>
        <item x="102"/>
        <item x="144"/>
        <item x="145"/>
        <item x="152"/>
        <item x="146"/>
        <item x="115"/>
        <item x="143"/>
        <item x="149"/>
        <item x="147"/>
        <item x="120"/>
        <item x="116"/>
        <item x="150"/>
        <item x="119"/>
        <item x="118"/>
        <item x="151"/>
        <item x="117"/>
        <item x="141"/>
        <item x="148"/>
        <item x="121"/>
        <item x="142"/>
        <item x="138"/>
        <item x="140"/>
        <item x="137"/>
        <item x="139"/>
        <item x="134"/>
        <item x="180"/>
        <item x="181"/>
        <item x="153"/>
        <item x="182"/>
        <item x="176"/>
        <item x="136"/>
        <item x="175"/>
        <item x="183"/>
        <item x="135"/>
        <item x="171"/>
        <item x="156"/>
        <item x="133"/>
        <item x="179"/>
        <item x="172"/>
        <item x="177"/>
        <item x="155"/>
        <item x="173"/>
        <item x="154"/>
        <item x="174"/>
        <item x="178"/>
        <item x="166"/>
        <item x="157"/>
        <item x="169"/>
        <item x="170"/>
        <item x="132"/>
        <item x="131"/>
        <item x="165"/>
        <item x="158"/>
        <item x="168"/>
        <item x="164"/>
        <item x="163"/>
        <item x="162"/>
        <item x="159"/>
        <item x="167"/>
        <item x="161"/>
        <item x="125"/>
        <item x="130"/>
        <item x="160"/>
        <item x="129"/>
        <item x="126"/>
        <item x="127"/>
        <item x="128"/>
        <item x="124"/>
        <item x="122"/>
        <item x="123"/>
        <item x="244"/>
        <item t="default"/>
      </items>
    </pivotField>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2"/>
    <field x="11"/>
  </rowFields>
  <rowItems count="8">
    <i>
      <x/>
    </i>
    <i r="1">
      <x/>
    </i>
    <i>
      <x v="1"/>
    </i>
    <i r="1">
      <x v="2"/>
    </i>
    <i r="1">
      <x v="3"/>
    </i>
    <i r="1">
      <x v="4"/>
    </i>
    <i r="1">
      <x v="5"/>
    </i>
    <i t="grand">
      <x/>
    </i>
  </rowItems>
  <colItems count="1">
    <i/>
  </colItems>
  <pageFields count="1">
    <pageField fld="0" hier="-1"/>
  </pageFields>
  <dataFields count="1">
    <dataField name="Average of Close" fld="5" subtotal="average" baseField="12"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E31A0-C7DA-4F48-BCB8-22B40161576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axis="axisRow" showAll="0">
      <items count="6">
        <item x="0"/>
        <item x="3"/>
        <item x="1"/>
        <item x="2"/>
        <item x="4"/>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 showAll="0"/>
    <pivotField dataField="1" showAll="0">
      <items count="247">
        <item x="184"/>
        <item x="185"/>
        <item x="143"/>
        <item x="125"/>
        <item x="152"/>
        <item x="133"/>
        <item x="171"/>
        <item x="131"/>
        <item x="129"/>
        <item x="216"/>
        <item x="230"/>
        <item x="192"/>
        <item x="137"/>
        <item x="8"/>
        <item x="68"/>
        <item x="89"/>
        <item x="104"/>
        <item x="114"/>
        <item x="168"/>
        <item x="73"/>
        <item x="166"/>
        <item x="149"/>
        <item x="204"/>
        <item x="70"/>
        <item x="236"/>
        <item x="180"/>
        <item x="134"/>
        <item x="175"/>
        <item x="195"/>
        <item x="11"/>
        <item x="225"/>
        <item x="205"/>
        <item x="0"/>
        <item x="179"/>
        <item x="169"/>
        <item x="144"/>
        <item x="217"/>
        <item x="241"/>
        <item x="41"/>
        <item x="69"/>
        <item x="213"/>
        <item x="94"/>
        <item x="20"/>
        <item x="83"/>
        <item x="202"/>
        <item x="18"/>
        <item x="14"/>
        <item x="113"/>
        <item x="21"/>
        <item x="190"/>
        <item x="107"/>
        <item x="162"/>
        <item x="156"/>
        <item x="76"/>
        <item x="191"/>
        <item x="32"/>
        <item x="231"/>
        <item x="124"/>
        <item x="63"/>
        <item x="141"/>
        <item x="39"/>
        <item x="80"/>
        <item x="67"/>
        <item x="6"/>
        <item x="140"/>
        <item x="59"/>
        <item x="101"/>
        <item x="50"/>
        <item x="52"/>
        <item x="29"/>
        <item x="163"/>
        <item x="243"/>
        <item x="227"/>
        <item x="111"/>
        <item x="194"/>
        <item x="130"/>
        <item x="132"/>
        <item x="226"/>
        <item x="42"/>
        <item x="103"/>
        <item x="7"/>
        <item x="1"/>
        <item x="58"/>
        <item x="186"/>
        <item x="57"/>
        <item x="49"/>
        <item x="219"/>
        <item x="118"/>
        <item x="26"/>
        <item x="91"/>
        <item x="82"/>
        <item x="211"/>
        <item x="138"/>
        <item x="240"/>
        <item x="71"/>
        <item x="161"/>
        <item x="43"/>
        <item x="176"/>
        <item x="4"/>
        <item x="95"/>
        <item x="33"/>
        <item x="99"/>
        <item x="13"/>
        <item x="120"/>
        <item x="38"/>
        <item x="62"/>
        <item x="75"/>
        <item x="136"/>
        <item x="193"/>
        <item x="165"/>
        <item x="155"/>
        <item x="45"/>
        <item x="64"/>
        <item x="215"/>
        <item x="81"/>
        <item x="223"/>
        <item x="237"/>
        <item x="109"/>
        <item x="239"/>
        <item x="112"/>
        <item x="164"/>
        <item x="232"/>
        <item x="56"/>
        <item x="188"/>
        <item x="119"/>
        <item x="100"/>
        <item x="53"/>
        <item x="61"/>
        <item x="234"/>
        <item x="46"/>
        <item x="110"/>
        <item x="2"/>
        <item x="242"/>
        <item x="187"/>
        <item x="51"/>
        <item x="222"/>
        <item x="151"/>
        <item x="197"/>
        <item x="198"/>
        <item x="105"/>
        <item x="145"/>
        <item x="24"/>
        <item x="9"/>
        <item x="170"/>
        <item x="66"/>
        <item x="174"/>
        <item x="10"/>
        <item x="121"/>
        <item x="74"/>
        <item x="127"/>
        <item x="128"/>
        <item x="15"/>
        <item x="182"/>
        <item x="146"/>
        <item x="203"/>
        <item x="218"/>
        <item x="150"/>
        <item x="40"/>
        <item x="181"/>
        <item x="90"/>
        <item x="183"/>
        <item x="79"/>
        <item x="172"/>
        <item x="48"/>
        <item x="30"/>
        <item x="206"/>
        <item x="47"/>
        <item x="55"/>
        <item x="37"/>
        <item x="117"/>
        <item x="173"/>
        <item x="160"/>
        <item x="235"/>
        <item x="12"/>
        <item x="31"/>
        <item x="19"/>
        <item x="233"/>
        <item x="196"/>
        <item x="221"/>
        <item x="108"/>
        <item x="244"/>
        <item x="35"/>
        <item x="93"/>
        <item x="139"/>
        <item x="123"/>
        <item x="142"/>
        <item x="88"/>
        <item x="229"/>
        <item x="28"/>
        <item x="178"/>
        <item x="97"/>
        <item x="72"/>
        <item x="22"/>
        <item x="210"/>
        <item x="5"/>
        <item x="23"/>
        <item x="177"/>
        <item x="98"/>
        <item x="27"/>
        <item x="36"/>
        <item x="201"/>
        <item x="78"/>
        <item x="122"/>
        <item x="86"/>
        <item x="200"/>
        <item x="17"/>
        <item x="135"/>
        <item x="25"/>
        <item x="3"/>
        <item x="96"/>
        <item x="158"/>
        <item x="214"/>
        <item x="77"/>
        <item x="92"/>
        <item x="34"/>
        <item x="199"/>
        <item x="148"/>
        <item x="159"/>
        <item x="84"/>
        <item x="106"/>
        <item x="189"/>
        <item x="208"/>
        <item x="154"/>
        <item x="102"/>
        <item x="157"/>
        <item x="220"/>
        <item x="85"/>
        <item x="228"/>
        <item x="207"/>
        <item x="54"/>
        <item x="147"/>
        <item x="65"/>
        <item x="116"/>
        <item x="126"/>
        <item x="44"/>
        <item x="16"/>
        <item x="238"/>
        <item x="224"/>
        <item x="212"/>
        <item x="87"/>
        <item x="167"/>
        <item x="209"/>
        <item x="60"/>
        <item x="115"/>
        <item x="153"/>
        <item x="245"/>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0"/>
  </rowFields>
  <rowItems count="6">
    <i>
      <x/>
    </i>
    <i>
      <x v="1"/>
    </i>
    <i>
      <x v="2"/>
    </i>
    <i>
      <x v="3"/>
    </i>
    <i>
      <x v="4"/>
    </i>
    <i t="grand">
      <x/>
    </i>
  </rowItems>
  <colItems count="1">
    <i/>
  </colItems>
  <dataFields count="1">
    <dataField name="Average of Daily Return %" fld="6" subtotal="average" baseField="0" baseItem="0"/>
  </dataFields>
  <formats count="1">
    <format dxfId="6">
      <pivotArea collapsedLevelsAreSubtotals="1" fieldPosition="0">
        <references count="1">
          <reference field="0" count="4">
            <x v="0"/>
            <x v="1"/>
            <x v="2"/>
            <x v="3"/>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F6B8D3-8BB2-49C7-983F-66E7C0F9CA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3">
    <pivotField axis="axisRow" showAll="0">
      <items count="6">
        <item x="0"/>
        <item x="3"/>
        <item x="1"/>
        <item x="2"/>
        <item x="4"/>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0"/>
  </rowFields>
  <rowItems count="6">
    <i>
      <x/>
    </i>
    <i>
      <x v="1"/>
    </i>
    <i>
      <x v="2"/>
    </i>
    <i>
      <x v="3"/>
    </i>
    <i>
      <x v="4"/>
    </i>
    <i t="grand">
      <x/>
    </i>
  </rowItems>
  <colItems count="1">
    <i/>
  </colItems>
  <dataFields count="1">
    <dataField name="Average of 5 Day Volatility" fld="8" subtotal="average" baseField="0" baseItem="0"/>
  </dataFields>
  <formats count="1">
    <format dxfId="5">
      <pivotArea collapsedLevelsAreSubtotals="1" fieldPosition="0">
        <references count="1">
          <reference field="0" count="4">
            <x v="0"/>
            <x v="1"/>
            <x v="2"/>
            <x v="3"/>
          </reference>
        </references>
      </pivotArea>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EC5BB3-BFB3-4CEC-9D25-571705F5AF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3">
    <pivotField axis="axisRow" showAll="0">
      <items count="6">
        <item x="0"/>
        <item x="3"/>
        <item x="1"/>
        <item x="2"/>
        <item x="4"/>
        <item t="default"/>
      </items>
    </pivotField>
    <pivotField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showAll="0"/>
    <pivotField showAll="0"/>
    <pivotField showAll="0"/>
    <pivotField dataField="1"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0"/>
  </rowFields>
  <rowItems count="6">
    <i>
      <x/>
    </i>
    <i>
      <x v="1"/>
    </i>
    <i>
      <x v="2"/>
    </i>
    <i>
      <x v="3"/>
    </i>
    <i>
      <x v="4"/>
    </i>
    <i t="grand">
      <x/>
    </i>
  </rowItems>
  <colFields count="1">
    <field x="-2"/>
  </colFields>
  <colItems count="2">
    <i>
      <x/>
    </i>
    <i i="1">
      <x v="1"/>
    </i>
  </colItems>
  <dataFields count="2">
    <dataField name="Sum of Daily Return %" fld="6" baseField="0" baseItem="0"/>
    <dataField name="Count of 5 Day Volatility"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3ECF3734-8D95-4F3E-B4B2-44FFE452BAD0}" sourceName="Ticker">
  <pivotTables>
    <pivotTable tabId="2" name="PivotTable1"/>
    <pivotTable tabId="3" name="PivotTable2"/>
    <pivotTable tabId="4" name="PivotTable3"/>
    <pivotTable tabId="6" name="PivotTable4"/>
  </pivotTables>
  <data>
    <tabular pivotCacheId="1525545328">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973E6E6-15A1-49C7-8C18-A37102118473}" sourceName="Months (Date)">
  <pivotTables>
    <pivotTable tabId="2" name="PivotTable1"/>
    <pivotTable tabId="3" name="PivotTable2"/>
    <pivotTable tabId="4" name="PivotTable3"/>
    <pivotTable tabId="6" name="PivotTable4"/>
  </pivotTables>
  <data>
    <tabular pivotCacheId="1525545328">
      <items count="14">
        <i x="2" s="1"/>
        <i x="3" s="1"/>
        <i x="4" s="1"/>
        <i x="5" s="1"/>
        <i x="1"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1" xr10:uid="{22B39F68-30E6-4916-A058-C60293B8F8B9}" cache="Slicer_Ticker" caption="Company" rowHeight="241300"/>
  <slicer name="Months (Date) 1" xr10:uid="{DD7F0FB5-48D1-4C2B-A42A-B5F6D1CE8BE0}"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4BBA2-C8F4-4716-B3B9-9A6C16A3D3C2}" name="Table1" displayName="Table1" ref="A1:K250" totalsRowShown="0" dataDxfId="4" dataCellStyle="Percent">
  <autoFilter ref="A1:K250" xr:uid="{C114BBA2-C8F4-4716-B3B9-9A6C16A3D3C2}"/>
  <tableColumns count="11">
    <tableColumn id="1" xr3:uid="{AF203AC8-4EC6-482D-A4BF-E26FC079D340}" name="Ticker"/>
    <tableColumn id="2" xr3:uid="{0014E376-3F24-4F55-9C5D-DA9454A1789C}" name="Date" dataDxfId="3"/>
    <tableColumn id="3" xr3:uid="{C75482DD-7B5A-40BA-B7EC-FF171769277B}" name="Open"/>
    <tableColumn id="4" xr3:uid="{AEFA4C61-4E09-440B-8F26-5BB4559AB5A7}" name="High"/>
    <tableColumn id="5" xr3:uid="{B4B14C35-C952-46D1-BCC1-CDB854281A5D}" name="Low"/>
    <tableColumn id="6" xr3:uid="{902AB909-FA0B-4755-81B6-C4857350ABEE}" name="Close"/>
    <tableColumn id="7" xr3:uid="{871A2CBA-1290-49D2-B39D-E0A1B5DD08E0}" name="Daily Return %" dataDxfId="2" dataCellStyle="Percent"/>
    <tableColumn id="8" xr3:uid="{77B929B6-07CE-48C2-A41B-85B2FDCE8696}" name="5 Day Moving Avg" dataDxfId="1" dataCellStyle="Percent"/>
    <tableColumn id="9" xr3:uid="{27DD1247-79DF-49BB-8C3B-E2AF5938817C}" name="5 Day Volatility" dataDxfId="0" dataCellStyle="Percent"/>
    <tableColumn id="10" xr3:uid="{F3B3ED5E-F1A6-438D-B8FB-78BB15079AE0}" name="Adj Close"/>
    <tableColumn id="11" xr3:uid="{EB5E88EC-18A5-4661-B573-60A6E6BFA9C1}" name="Volu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0AAB-60C0-4E07-96E9-A5DA652406F7}">
  <dimension ref="J2:U24"/>
  <sheetViews>
    <sheetView showGridLines="0" tabSelected="1" zoomScale="70" zoomScaleNormal="70" workbookViewId="0">
      <selection activeCell="U3" sqref="U3"/>
    </sheetView>
  </sheetViews>
  <sheetFormatPr defaultRowHeight="14.4" x14ac:dyDescent="0.3"/>
  <sheetData>
    <row r="2" spans="10:20" ht="25.8" x14ac:dyDescent="0.5">
      <c r="K2" s="12" t="s">
        <v>37</v>
      </c>
    </row>
    <row r="4" spans="10:20" ht="21" x14ac:dyDescent="0.4">
      <c r="M4" s="11"/>
      <c r="N4" s="11"/>
      <c r="P4" s="13" t="s">
        <v>38</v>
      </c>
    </row>
    <row r="6" spans="10:20" ht="15.6" x14ac:dyDescent="0.3">
      <c r="J6" s="11" t="s">
        <v>40</v>
      </c>
      <c r="T6" s="11" t="s">
        <v>33</v>
      </c>
    </row>
    <row r="24" spans="10:21" ht="15.6" x14ac:dyDescent="0.3">
      <c r="J24" s="11" t="s">
        <v>34</v>
      </c>
      <c r="T24" s="11"/>
      <c r="U24" s="11" t="s">
        <v>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00CD-77C6-4752-976B-A394E20ED5CC}">
  <dimension ref="A1:L19"/>
  <sheetViews>
    <sheetView showGridLines="0" workbookViewId="0">
      <selection activeCell="L4" sqref="L4"/>
    </sheetView>
  </sheetViews>
  <sheetFormatPr defaultRowHeight="14.4" x14ac:dyDescent="0.3"/>
  <cols>
    <col min="1" max="1" width="14.88671875" bestFit="1" customWidth="1"/>
    <col min="2" max="2" width="14.77734375" bestFit="1" customWidth="1"/>
  </cols>
  <sheetData>
    <row r="1" spans="1:12" x14ac:dyDescent="0.3">
      <c r="A1" s="5" t="s">
        <v>26</v>
      </c>
      <c r="B1" t="s">
        <v>15</v>
      </c>
    </row>
    <row r="2" spans="1:12" ht="18" x14ac:dyDescent="0.35">
      <c r="D2" s="11"/>
      <c r="E2" s="10" t="s">
        <v>39</v>
      </c>
    </row>
    <row r="3" spans="1:12" x14ac:dyDescent="0.3">
      <c r="A3" s="5" t="s">
        <v>16</v>
      </c>
      <c r="B3" t="s">
        <v>24</v>
      </c>
    </row>
    <row r="4" spans="1:12" x14ac:dyDescent="0.3">
      <c r="A4" s="6" t="s">
        <v>19</v>
      </c>
      <c r="D4" s="9"/>
    </row>
    <row r="5" spans="1:12" x14ac:dyDescent="0.3">
      <c r="A5" s="7" t="s">
        <v>19</v>
      </c>
    </row>
    <row r="6" spans="1:12" x14ac:dyDescent="0.3">
      <c r="A6" s="6" t="s">
        <v>25</v>
      </c>
      <c r="B6">
        <v>215.38167350522926</v>
      </c>
      <c r="D6" s="9"/>
    </row>
    <row r="7" spans="1:12" x14ac:dyDescent="0.3">
      <c r="A7" s="7" t="s">
        <v>20</v>
      </c>
      <c r="B7">
        <v>212.74583333333305</v>
      </c>
    </row>
    <row r="8" spans="1:12" x14ac:dyDescent="0.3">
      <c r="A8" s="7" t="s">
        <v>21</v>
      </c>
      <c r="B8">
        <v>208.21728349768574</v>
      </c>
    </row>
    <row r="9" spans="1:12" x14ac:dyDescent="0.3">
      <c r="A9" s="7" t="s">
        <v>22</v>
      </c>
      <c r="B9">
        <v>223.44473668148615</v>
      </c>
      <c r="L9" s="9"/>
    </row>
    <row r="10" spans="1:12" x14ac:dyDescent="0.3">
      <c r="A10" s="7" t="s">
        <v>23</v>
      </c>
      <c r="B10">
        <v>225.60574798583926</v>
      </c>
    </row>
    <row r="11" spans="1:12" x14ac:dyDescent="0.3">
      <c r="A11" s="6" t="s">
        <v>18</v>
      </c>
      <c r="B11">
        <v>215.38167350522926</v>
      </c>
      <c r="L11" s="9"/>
    </row>
    <row r="13" spans="1:12" x14ac:dyDescent="0.3">
      <c r="B13" s="9" t="s">
        <v>32</v>
      </c>
    </row>
    <row r="19" spans="7:7" x14ac:dyDescent="0.3">
      <c r="G19" s="9" t="s">
        <v>31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C987-45A2-42BF-8FBB-EAC14BABC321}">
  <dimension ref="A2:F9"/>
  <sheetViews>
    <sheetView showGridLines="0" workbookViewId="0">
      <selection activeCell="C9" sqref="C9"/>
    </sheetView>
  </sheetViews>
  <sheetFormatPr defaultRowHeight="14.4" x14ac:dyDescent="0.3"/>
  <cols>
    <col min="1" max="1" width="12.33203125" bestFit="1" customWidth="1"/>
    <col min="2" max="2" width="22.6640625" bestFit="1" customWidth="1"/>
  </cols>
  <sheetData>
    <row r="2" spans="1:6" ht="18" x14ac:dyDescent="0.35">
      <c r="F2" s="10" t="s">
        <v>33</v>
      </c>
    </row>
    <row r="3" spans="1:6" x14ac:dyDescent="0.3">
      <c r="A3" s="5" t="s">
        <v>16</v>
      </c>
      <c r="B3" t="s">
        <v>28</v>
      </c>
    </row>
    <row r="4" spans="1:6" x14ac:dyDescent="0.3">
      <c r="A4" s="6" t="s">
        <v>8</v>
      </c>
      <c r="B4" s="8">
        <v>1.9593757856305053E-3</v>
      </c>
    </row>
    <row r="5" spans="1:6" x14ac:dyDescent="0.3">
      <c r="A5" s="6" t="s">
        <v>11</v>
      </c>
      <c r="B5" s="8">
        <v>-6.5731509250860812E-5</v>
      </c>
    </row>
    <row r="6" spans="1:6" x14ac:dyDescent="0.3">
      <c r="A6" s="6" t="s">
        <v>9</v>
      </c>
      <c r="B6" s="8">
        <v>2.5638533797205255E-3</v>
      </c>
    </row>
    <row r="7" spans="1:6" x14ac:dyDescent="0.3">
      <c r="A7" s="6" t="s">
        <v>10</v>
      </c>
      <c r="B7" s="8">
        <v>-1.6493571480381978E-3</v>
      </c>
    </row>
    <row r="8" spans="1:6" x14ac:dyDescent="0.3">
      <c r="A8" s="6" t="s">
        <v>17</v>
      </c>
    </row>
    <row r="9" spans="1:6" x14ac:dyDescent="0.3">
      <c r="A9" s="6" t="s">
        <v>18</v>
      </c>
      <c r="B9">
        <v>7.0203512701549312E-4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AE72-2880-426E-AA67-6CC646619FA4}">
  <dimension ref="A2:F9"/>
  <sheetViews>
    <sheetView showGridLines="0" workbookViewId="0">
      <selection activeCell="B13" sqref="B13"/>
    </sheetView>
  </sheetViews>
  <sheetFormatPr defaultRowHeight="14.4" x14ac:dyDescent="0.3"/>
  <cols>
    <col min="1" max="1" width="12.33203125" bestFit="1" customWidth="1"/>
    <col min="2" max="2" width="23" bestFit="1" customWidth="1"/>
  </cols>
  <sheetData>
    <row r="2" spans="1:6" ht="18" x14ac:dyDescent="0.35">
      <c r="F2" s="10" t="s">
        <v>34</v>
      </c>
    </row>
    <row r="3" spans="1:6" x14ac:dyDescent="0.3">
      <c r="A3" s="5" t="s">
        <v>16</v>
      </c>
      <c r="B3" t="s">
        <v>30</v>
      </c>
    </row>
    <row r="4" spans="1:6" x14ac:dyDescent="0.3">
      <c r="A4" s="6" t="s">
        <v>8</v>
      </c>
      <c r="B4" s="3">
        <v>1.9275117529135068</v>
      </c>
    </row>
    <row r="5" spans="1:6" x14ac:dyDescent="0.3">
      <c r="A5" s="6" t="s">
        <v>11</v>
      </c>
      <c r="B5" s="3">
        <v>1.796956808697544</v>
      </c>
    </row>
    <row r="6" spans="1:6" x14ac:dyDescent="0.3">
      <c r="A6" s="6" t="s">
        <v>9</v>
      </c>
      <c r="B6" s="3">
        <v>4.3560897309040048</v>
      </c>
    </row>
    <row r="7" spans="1:6" x14ac:dyDescent="0.3">
      <c r="A7" s="6" t="s">
        <v>10</v>
      </c>
      <c r="B7" s="3">
        <v>6.3478828782359509</v>
      </c>
    </row>
    <row r="8" spans="1:6" x14ac:dyDescent="0.3">
      <c r="A8" s="6" t="s">
        <v>17</v>
      </c>
    </row>
    <row r="9" spans="1:6" x14ac:dyDescent="0.3">
      <c r="A9" s="6" t="s">
        <v>18</v>
      </c>
      <c r="B9">
        <v>3.6071102926877496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B9B2-E350-40A7-9CF2-165FA1388B41}">
  <dimension ref="A3:M18"/>
  <sheetViews>
    <sheetView showGridLines="0" workbookViewId="0">
      <selection activeCell="E8" sqref="E8"/>
    </sheetView>
  </sheetViews>
  <sheetFormatPr defaultRowHeight="14.4" x14ac:dyDescent="0.3"/>
  <cols>
    <col min="1" max="1" width="12.33203125" bestFit="1" customWidth="1"/>
    <col min="2" max="2" width="19.44140625" bestFit="1" customWidth="1"/>
    <col min="3" max="3" width="21.33203125" bestFit="1" customWidth="1"/>
  </cols>
  <sheetData>
    <row r="3" spans="1:13" x14ac:dyDescent="0.3">
      <c r="A3" s="5" t="s">
        <v>16</v>
      </c>
      <c r="B3" t="s">
        <v>27</v>
      </c>
      <c r="C3" t="s">
        <v>29</v>
      </c>
    </row>
    <row r="4" spans="1:13" x14ac:dyDescent="0.3">
      <c r="A4" s="6" t="s">
        <v>8</v>
      </c>
      <c r="B4">
        <v>0.12148129870909131</v>
      </c>
      <c r="C4">
        <v>58</v>
      </c>
    </row>
    <row r="5" spans="1:13" x14ac:dyDescent="0.3">
      <c r="A5" s="6" t="s">
        <v>11</v>
      </c>
      <c r="B5">
        <v>-4.07535357355337E-3</v>
      </c>
      <c r="C5">
        <v>62</v>
      </c>
    </row>
    <row r="6" spans="1:13" x14ac:dyDescent="0.3">
      <c r="A6" s="6" t="s">
        <v>9</v>
      </c>
      <c r="B6">
        <v>0.15895890954267258</v>
      </c>
      <c r="C6">
        <v>62</v>
      </c>
      <c r="M6" s="9"/>
    </row>
    <row r="7" spans="1:13" x14ac:dyDescent="0.3">
      <c r="A7" s="6" t="s">
        <v>10</v>
      </c>
      <c r="B7">
        <v>-0.10226014317836826</v>
      </c>
      <c r="C7">
        <v>62</v>
      </c>
    </row>
    <row r="8" spans="1:13" x14ac:dyDescent="0.3">
      <c r="A8" s="6" t="s">
        <v>17</v>
      </c>
      <c r="G8">
        <v>0.12148129870909131</v>
      </c>
      <c r="H8">
        <v>58</v>
      </c>
    </row>
    <row r="9" spans="1:13" x14ac:dyDescent="0.3">
      <c r="A9" s="6" t="s">
        <v>18</v>
      </c>
      <c r="B9">
        <v>0.1741047114998423</v>
      </c>
      <c r="C9">
        <v>244</v>
      </c>
      <c r="G9">
        <v>-4.07535357355337E-3</v>
      </c>
      <c r="H9">
        <v>62</v>
      </c>
    </row>
    <row r="10" spans="1:13" x14ac:dyDescent="0.3">
      <c r="G10">
        <v>0.15895890954267258</v>
      </c>
      <c r="H10">
        <v>62</v>
      </c>
    </row>
    <row r="11" spans="1:13" x14ac:dyDescent="0.3">
      <c r="D11" s="9" t="s">
        <v>36</v>
      </c>
      <c r="G11">
        <v>-0.10226014317836826</v>
      </c>
      <c r="H11">
        <v>62</v>
      </c>
    </row>
    <row r="12" spans="1:13" x14ac:dyDescent="0.3">
      <c r="M12" s="9"/>
    </row>
    <row r="18" spans="8:9" x14ac:dyDescent="0.3">
      <c r="H18" s="9"/>
      <c r="I18" s="9" t="s">
        <v>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3293-39AE-4656-ACCC-7DBB04FADBBA}">
  <dimension ref="A1:K249"/>
  <sheetViews>
    <sheetView topLeftCell="A8" workbookViewId="0">
      <selection activeCell="G13" sqref="G13"/>
    </sheetView>
  </sheetViews>
  <sheetFormatPr defaultRowHeight="14.4" x14ac:dyDescent="0.3"/>
  <cols>
    <col min="2" max="2" width="8.77734375" style="1"/>
    <col min="7" max="7" width="15" customWidth="1"/>
    <col min="8" max="8" width="17.5546875" customWidth="1"/>
    <col min="9" max="9" width="15.33203125" style="3" customWidth="1"/>
    <col min="10" max="10" width="10.5546875" customWidth="1"/>
    <col min="11" max="11" width="9.21875" customWidth="1"/>
  </cols>
  <sheetData>
    <row r="1" spans="1:11" x14ac:dyDescent="0.3">
      <c r="A1" t="s">
        <v>0</v>
      </c>
      <c r="B1" s="1" t="s">
        <v>1</v>
      </c>
      <c r="C1" t="s">
        <v>2</v>
      </c>
      <c r="D1" t="s">
        <v>3</v>
      </c>
      <c r="E1" t="s">
        <v>4</v>
      </c>
      <c r="F1" t="s">
        <v>5</v>
      </c>
      <c r="G1" t="s">
        <v>12</v>
      </c>
      <c r="H1" t="s">
        <v>13</v>
      </c>
      <c r="I1" s="3" t="s">
        <v>14</v>
      </c>
      <c r="J1" t="s">
        <v>6</v>
      </c>
      <c r="K1" t="s">
        <v>7</v>
      </c>
    </row>
    <row r="2" spans="1:11" x14ac:dyDescent="0.3">
      <c r="A2" t="s">
        <v>8</v>
      </c>
      <c r="B2" s="1">
        <v>44964</v>
      </c>
      <c r="C2">
        <v>150.63999938964801</v>
      </c>
      <c r="D2">
        <v>155.22999572753901</v>
      </c>
      <c r="E2">
        <v>150.63999938964801</v>
      </c>
      <c r="F2">
        <v>154.64999389648401</v>
      </c>
      <c r="G2" s="2">
        <f>IF(A3=A2,(F3-F2)/F2,0)</f>
        <v>-1.7652737376545557E-2</v>
      </c>
      <c r="H2" s="2"/>
      <c r="I2" s="4"/>
      <c r="J2">
        <v>154.41423034667901</v>
      </c>
      <c r="K2">
        <v>83322600</v>
      </c>
    </row>
    <row r="3" spans="1:11" x14ac:dyDescent="0.3">
      <c r="A3" t="s">
        <v>8</v>
      </c>
      <c r="B3" s="1">
        <v>44965</v>
      </c>
      <c r="C3">
        <v>153.88000488281199</v>
      </c>
      <c r="D3">
        <v>154.58000183105401</v>
      </c>
      <c r="E3">
        <v>151.169998168945</v>
      </c>
      <c r="F3">
        <v>151.919998168945</v>
      </c>
      <c r="G3" s="2">
        <f t="shared" ref="G3:G66" si="0">IF(A4=A3,(F4-F3)/F3,0)</f>
        <v>-6.9115525566972374E-3</v>
      </c>
      <c r="H3" s="2"/>
      <c r="I3" s="4"/>
      <c r="J3">
        <v>151.68840026855401</v>
      </c>
      <c r="K3">
        <v>64120100</v>
      </c>
    </row>
    <row r="4" spans="1:11" x14ac:dyDescent="0.3">
      <c r="A4" t="s">
        <v>8</v>
      </c>
      <c r="B4" s="1">
        <v>44966</v>
      </c>
      <c r="C4">
        <v>153.77999877929599</v>
      </c>
      <c r="D4">
        <v>154.33000183105401</v>
      </c>
      <c r="E4">
        <v>150.419998168945</v>
      </c>
      <c r="F4">
        <v>150.86999511718699</v>
      </c>
      <c r="G4" s="2">
        <f t="shared" si="0"/>
        <v>9.279472007622711E-4</v>
      </c>
      <c r="H4" s="2"/>
      <c r="I4" s="4"/>
      <c r="J4">
        <v>150.63999938964801</v>
      </c>
      <c r="K4">
        <v>56007100</v>
      </c>
    </row>
    <row r="5" spans="1:11" x14ac:dyDescent="0.3">
      <c r="A5" t="s">
        <v>8</v>
      </c>
      <c r="B5" s="1">
        <v>44967</v>
      </c>
      <c r="C5">
        <v>149.46000671386699</v>
      </c>
      <c r="D5">
        <v>151.33999633789</v>
      </c>
      <c r="E5">
        <v>149.22000122070301</v>
      </c>
      <c r="F5">
        <v>151.009994506835</v>
      </c>
      <c r="G5" s="2">
        <f t="shared" si="0"/>
        <v>1.8806779021182309E-2</v>
      </c>
      <c r="H5" s="2"/>
      <c r="I5" s="4"/>
      <c r="J5">
        <v>151.009994506835</v>
      </c>
      <c r="K5">
        <v>57450700</v>
      </c>
    </row>
    <row r="6" spans="1:11" x14ac:dyDescent="0.3">
      <c r="A6" t="s">
        <v>8</v>
      </c>
      <c r="B6" s="1">
        <v>44970</v>
      </c>
      <c r="C6">
        <v>150.94999694824199</v>
      </c>
      <c r="D6">
        <v>154.259994506835</v>
      </c>
      <c r="E6">
        <v>150.919998168945</v>
      </c>
      <c r="F6">
        <v>153.850006103515</v>
      </c>
      <c r="G6" s="2">
        <f t="shared" si="0"/>
        <v>-4.2249537178156828E-3</v>
      </c>
      <c r="H6" s="2">
        <f>IF(A6=A2, AVERAGE(F2:F6), "")</f>
        <v>152.45999755859322</v>
      </c>
      <c r="I6" s="4">
        <f>IF(A6=A2, STDEV(F2:F6), "")</f>
        <v>1.7066358479137396</v>
      </c>
      <c r="J6">
        <v>153.850006103515</v>
      </c>
      <c r="K6">
        <v>62199000</v>
      </c>
    </row>
    <row r="7" spans="1:11" x14ac:dyDescent="0.3">
      <c r="A7" t="s">
        <v>8</v>
      </c>
      <c r="B7" s="1">
        <v>44971</v>
      </c>
      <c r="C7">
        <v>152.11999511718699</v>
      </c>
      <c r="D7">
        <v>153.77000427246</v>
      </c>
      <c r="E7">
        <v>150.86000061035099</v>
      </c>
      <c r="F7">
        <v>153.19999694824199</v>
      </c>
      <c r="G7" s="2">
        <f t="shared" si="0"/>
        <v>1.3903426404973301E-2</v>
      </c>
      <c r="H7" s="2">
        <f t="shared" ref="H7:H70" si="1">IF(A7=A3, AVERAGE(F3:F7), "")</f>
        <v>152.1699981689448</v>
      </c>
      <c r="I7" s="4">
        <f t="shared" ref="I7:I70" si="2">IF(A7=A3, STDEV(F3:F7), "")</f>
        <v>1.3211207908685147</v>
      </c>
      <c r="J7">
        <v>153.19999694824199</v>
      </c>
      <c r="K7">
        <v>61707600</v>
      </c>
    </row>
    <row r="8" spans="1:11" x14ac:dyDescent="0.3">
      <c r="A8" t="s">
        <v>8</v>
      </c>
      <c r="B8" s="1">
        <v>44972</v>
      </c>
      <c r="C8">
        <v>153.11000061035099</v>
      </c>
      <c r="D8">
        <v>155.5</v>
      </c>
      <c r="E8">
        <v>152.88000488281199</v>
      </c>
      <c r="F8">
        <v>155.33000183105401</v>
      </c>
      <c r="G8" s="2">
        <f t="shared" si="0"/>
        <v>-1.0429376798366476E-2</v>
      </c>
      <c r="H8" s="2">
        <f t="shared" si="1"/>
        <v>152.85199890136658</v>
      </c>
      <c r="I8" s="4">
        <f t="shared" si="2"/>
        <v>1.9091188232850094</v>
      </c>
      <c r="J8">
        <v>155.33000183105401</v>
      </c>
      <c r="K8">
        <v>65573800</v>
      </c>
    </row>
    <row r="9" spans="1:11" x14ac:dyDescent="0.3">
      <c r="A9" t="s">
        <v>8</v>
      </c>
      <c r="B9" s="1">
        <v>44973</v>
      </c>
      <c r="C9">
        <v>153.509994506835</v>
      </c>
      <c r="D9">
        <v>156.33000183105401</v>
      </c>
      <c r="E9">
        <v>153.350006103515</v>
      </c>
      <c r="F9">
        <v>153.71000671386699</v>
      </c>
      <c r="G9" s="2">
        <f t="shared" si="0"/>
        <v>-7.5467023059166277E-3</v>
      </c>
      <c r="H9" s="2">
        <f t="shared" si="1"/>
        <v>153.42000122070257</v>
      </c>
      <c r="I9" s="4">
        <f t="shared" si="2"/>
        <v>1.5631413849711899</v>
      </c>
      <c r="J9">
        <v>153.71000671386699</v>
      </c>
      <c r="K9">
        <v>68167900</v>
      </c>
    </row>
    <row r="10" spans="1:11" x14ac:dyDescent="0.3">
      <c r="A10" t="s">
        <v>8</v>
      </c>
      <c r="B10" s="1">
        <v>44974</v>
      </c>
      <c r="C10">
        <v>152.350006103515</v>
      </c>
      <c r="D10">
        <v>153</v>
      </c>
      <c r="E10">
        <v>150.850006103515</v>
      </c>
      <c r="F10">
        <v>152.55000305175699</v>
      </c>
      <c r="G10" s="2">
        <f t="shared" si="0"/>
        <v>-2.6679824600443405E-2</v>
      </c>
      <c r="H10" s="2">
        <f t="shared" si="1"/>
        <v>153.72800292968699</v>
      </c>
      <c r="I10" s="4">
        <f t="shared" si="2"/>
        <v>1.0305439276219464</v>
      </c>
      <c r="J10">
        <v>152.55000305175699</v>
      </c>
      <c r="K10">
        <v>59144100</v>
      </c>
    </row>
    <row r="11" spans="1:11" x14ac:dyDescent="0.3">
      <c r="A11" t="s">
        <v>8</v>
      </c>
      <c r="B11" s="1">
        <v>44978</v>
      </c>
      <c r="C11">
        <v>150.19999694824199</v>
      </c>
      <c r="D11">
        <v>151.30000305175699</v>
      </c>
      <c r="E11">
        <v>148.41000366210901</v>
      </c>
      <c r="F11">
        <v>148.47999572753901</v>
      </c>
      <c r="G11" s="2">
        <f t="shared" si="0"/>
        <v>2.8960664530127346E-3</v>
      </c>
      <c r="H11" s="2">
        <f t="shared" si="1"/>
        <v>152.65400085449178</v>
      </c>
      <c r="I11" s="4">
        <f t="shared" si="2"/>
        <v>2.5498713535583004</v>
      </c>
      <c r="J11">
        <v>148.47999572753901</v>
      </c>
      <c r="K11">
        <v>58867200</v>
      </c>
    </row>
    <row r="12" spans="1:11" x14ac:dyDescent="0.3">
      <c r="A12" t="s">
        <v>8</v>
      </c>
      <c r="B12" s="1">
        <v>44979</v>
      </c>
      <c r="C12">
        <v>148.86999511718699</v>
      </c>
      <c r="D12">
        <v>149.94999694824199</v>
      </c>
      <c r="E12">
        <v>147.16000366210901</v>
      </c>
      <c r="F12">
        <v>148.91000366210901</v>
      </c>
      <c r="G12" s="2">
        <f t="shared" si="0"/>
        <v>3.2905125399555731E-3</v>
      </c>
      <c r="H12" s="2">
        <f t="shared" si="1"/>
        <v>151.79600219726518</v>
      </c>
      <c r="I12" s="4">
        <f t="shared" si="2"/>
        <v>3.0019148239896594</v>
      </c>
      <c r="J12">
        <v>148.91000366210901</v>
      </c>
      <c r="K12">
        <v>51011300</v>
      </c>
    </row>
    <row r="13" spans="1:11" x14ac:dyDescent="0.3">
      <c r="A13" t="s">
        <v>8</v>
      </c>
      <c r="B13" s="1">
        <v>44980</v>
      </c>
      <c r="C13">
        <v>150.08999633789</v>
      </c>
      <c r="D13">
        <v>150.33999633789</v>
      </c>
      <c r="E13">
        <v>147.24000549316401</v>
      </c>
      <c r="F13">
        <v>149.39999389648401</v>
      </c>
      <c r="G13" s="2">
        <f t="shared" si="0"/>
        <v>-1.8005269695531918E-2</v>
      </c>
      <c r="H13" s="2">
        <f t="shared" si="1"/>
        <v>150.61000061035119</v>
      </c>
      <c r="I13" s="4">
        <f t="shared" si="2"/>
        <v>2.3592728745810545</v>
      </c>
      <c r="J13">
        <v>149.39999389648401</v>
      </c>
      <c r="K13">
        <v>48394200</v>
      </c>
    </row>
    <row r="14" spans="1:11" x14ac:dyDescent="0.3">
      <c r="A14" t="s">
        <v>8</v>
      </c>
      <c r="B14" s="1">
        <v>44981</v>
      </c>
      <c r="C14">
        <v>147.11000061035099</v>
      </c>
      <c r="D14">
        <v>147.19000244140599</v>
      </c>
      <c r="E14">
        <v>145.72000122070301</v>
      </c>
      <c r="F14">
        <v>146.71000671386699</v>
      </c>
      <c r="G14" s="2">
        <f t="shared" si="0"/>
        <v>8.2475045989050672E-3</v>
      </c>
      <c r="H14" s="2">
        <f t="shared" si="1"/>
        <v>149.21000061035119</v>
      </c>
      <c r="I14" s="4">
        <f t="shared" si="2"/>
        <v>2.125122851608511</v>
      </c>
      <c r="J14">
        <v>146.71000671386699</v>
      </c>
      <c r="K14">
        <v>55469600</v>
      </c>
    </row>
    <row r="15" spans="1:11" x14ac:dyDescent="0.3">
      <c r="A15" t="s">
        <v>8</v>
      </c>
      <c r="B15" s="1">
        <v>44984</v>
      </c>
      <c r="C15">
        <v>147.71000671386699</v>
      </c>
      <c r="D15">
        <v>149.169998168945</v>
      </c>
      <c r="E15">
        <v>147.44999694824199</v>
      </c>
      <c r="F15">
        <v>147.919998168945</v>
      </c>
      <c r="G15" s="2">
        <f t="shared" si="0"/>
        <v>-3.4477725334576491E-3</v>
      </c>
      <c r="H15" s="2">
        <f t="shared" si="1"/>
        <v>148.2839996337888</v>
      </c>
      <c r="I15" s="4">
        <f t="shared" si="2"/>
        <v>1.0350953440359374</v>
      </c>
      <c r="J15">
        <v>147.919998168945</v>
      </c>
      <c r="K15">
        <v>44998500</v>
      </c>
    </row>
    <row r="16" spans="1:11" x14ac:dyDescent="0.3">
      <c r="A16" t="s">
        <v>8</v>
      </c>
      <c r="B16" s="1">
        <v>44985</v>
      </c>
      <c r="C16">
        <v>147.05000305175699</v>
      </c>
      <c r="D16">
        <v>149.08000183105401</v>
      </c>
      <c r="E16">
        <v>146.83000183105401</v>
      </c>
      <c r="F16">
        <v>147.41000366210901</v>
      </c>
      <c r="G16" s="2">
        <f t="shared" si="0"/>
        <v>-1.4246021649450583E-2</v>
      </c>
      <c r="H16" s="2">
        <f t="shared" si="1"/>
        <v>148.07000122070281</v>
      </c>
      <c r="I16" s="4">
        <f t="shared" si="2"/>
        <v>1.0934083604388207</v>
      </c>
      <c r="J16">
        <v>147.41000366210901</v>
      </c>
      <c r="K16">
        <v>50547000</v>
      </c>
    </row>
    <row r="17" spans="1:11" x14ac:dyDescent="0.3">
      <c r="A17" t="s">
        <v>8</v>
      </c>
      <c r="B17" s="1">
        <v>44986</v>
      </c>
      <c r="C17">
        <v>146.83000183105401</v>
      </c>
      <c r="D17">
        <v>147.22999572753901</v>
      </c>
      <c r="E17">
        <v>145.009994506835</v>
      </c>
      <c r="F17">
        <v>145.30999755859301</v>
      </c>
      <c r="G17" s="2">
        <f t="shared" si="0"/>
        <v>4.1291453691894488E-3</v>
      </c>
      <c r="H17" s="2">
        <f t="shared" si="1"/>
        <v>147.3499999999996</v>
      </c>
      <c r="I17" s="4">
        <f t="shared" si="2"/>
        <v>1.5084905282210612</v>
      </c>
      <c r="J17">
        <v>145.30999755859301</v>
      </c>
      <c r="K17">
        <v>55479000</v>
      </c>
    </row>
    <row r="18" spans="1:11" x14ac:dyDescent="0.3">
      <c r="A18" t="s">
        <v>8</v>
      </c>
      <c r="B18" s="1">
        <v>44987</v>
      </c>
      <c r="C18">
        <v>144.38000488281199</v>
      </c>
      <c r="D18">
        <v>146.71000671386699</v>
      </c>
      <c r="E18">
        <v>143.89999389648401</v>
      </c>
      <c r="F18">
        <v>145.91000366210901</v>
      </c>
      <c r="G18" s="2">
        <f t="shared" si="0"/>
        <v>3.5090089703812312E-2</v>
      </c>
      <c r="H18" s="2">
        <f t="shared" si="1"/>
        <v>146.65200195312462</v>
      </c>
      <c r="I18" s="4">
        <f t="shared" si="2"/>
        <v>1.0650449292446627</v>
      </c>
      <c r="J18">
        <v>145.91000366210901</v>
      </c>
      <c r="K18">
        <v>52238100</v>
      </c>
    </row>
    <row r="19" spans="1:11" x14ac:dyDescent="0.3">
      <c r="A19" t="s">
        <v>8</v>
      </c>
      <c r="B19" s="1">
        <v>44988</v>
      </c>
      <c r="C19">
        <v>148.03999328613199</v>
      </c>
      <c r="D19">
        <v>151.11000061035099</v>
      </c>
      <c r="E19">
        <v>147.33000183105401</v>
      </c>
      <c r="F19">
        <v>151.02999877929599</v>
      </c>
      <c r="G19" s="2">
        <f t="shared" si="0"/>
        <v>1.8539383396604058E-2</v>
      </c>
      <c r="H19" s="2">
        <f t="shared" si="1"/>
        <v>147.51600036621039</v>
      </c>
      <c r="I19" s="4">
        <f t="shared" si="2"/>
        <v>2.2342956481776959</v>
      </c>
      <c r="J19">
        <v>151.02999877929599</v>
      </c>
      <c r="K19">
        <v>70732300</v>
      </c>
    </row>
    <row r="20" spans="1:11" x14ac:dyDescent="0.3">
      <c r="A20" t="s">
        <v>8</v>
      </c>
      <c r="B20" s="1">
        <v>44991</v>
      </c>
      <c r="C20">
        <v>153.78999328613199</v>
      </c>
      <c r="D20">
        <v>156.30000305175699</v>
      </c>
      <c r="E20">
        <v>153.46000671386699</v>
      </c>
      <c r="F20">
        <v>153.83000183105401</v>
      </c>
      <c r="G20" s="2">
        <f t="shared" si="0"/>
        <v>-1.4496494188358199E-2</v>
      </c>
      <c r="H20" s="2">
        <f t="shared" si="1"/>
        <v>148.6980010986322</v>
      </c>
      <c r="I20" s="4">
        <f t="shared" si="2"/>
        <v>3.6292588702814919</v>
      </c>
      <c r="J20">
        <v>153.83000183105401</v>
      </c>
      <c r="K20">
        <v>87558000</v>
      </c>
    </row>
    <row r="21" spans="1:11" x14ac:dyDescent="0.3">
      <c r="A21" t="s">
        <v>8</v>
      </c>
      <c r="B21" s="1">
        <v>44992</v>
      </c>
      <c r="C21">
        <v>153.69999694824199</v>
      </c>
      <c r="D21">
        <v>154.02999877929599</v>
      </c>
      <c r="E21">
        <v>151.13000488281199</v>
      </c>
      <c r="F21">
        <v>151.600006103515</v>
      </c>
      <c r="G21" s="2">
        <f t="shared" si="0"/>
        <v>8.3772359006688904E-3</v>
      </c>
      <c r="H21" s="2">
        <f t="shared" si="1"/>
        <v>149.53600158691339</v>
      </c>
      <c r="I21" s="4">
        <f t="shared" si="2"/>
        <v>3.7395705418585297</v>
      </c>
      <c r="J21">
        <v>151.600006103515</v>
      </c>
      <c r="K21">
        <v>56182000</v>
      </c>
    </row>
    <row r="22" spans="1:11" x14ac:dyDescent="0.3">
      <c r="A22" t="s">
        <v>8</v>
      </c>
      <c r="B22" s="1">
        <v>44993</v>
      </c>
      <c r="C22">
        <v>152.80999755859301</v>
      </c>
      <c r="D22">
        <v>153.47000122070301</v>
      </c>
      <c r="E22">
        <v>151.83000183105401</v>
      </c>
      <c r="F22">
        <v>152.86999511718699</v>
      </c>
      <c r="G22" s="2">
        <f t="shared" si="0"/>
        <v>-1.4914625839748268E-2</v>
      </c>
      <c r="H22" s="2">
        <f t="shared" si="1"/>
        <v>151.04800109863223</v>
      </c>
      <c r="I22" s="4">
        <f t="shared" si="2"/>
        <v>3.0725901754660088</v>
      </c>
      <c r="J22">
        <v>152.86999511718699</v>
      </c>
      <c r="K22">
        <v>47204800</v>
      </c>
    </row>
    <row r="23" spans="1:11" x14ac:dyDescent="0.3">
      <c r="A23" t="s">
        <v>8</v>
      </c>
      <c r="B23" s="1">
        <v>44994</v>
      </c>
      <c r="C23">
        <v>153.55999755859301</v>
      </c>
      <c r="D23">
        <v>154.53999328613199</v>
      </c>
      <c r="E23">
        <v>150.22999572753901</v>
      </c>
      <c r="F23">
        <v>150.58999633789</v>
      </c>
      <c r="G23" s="2">
        <f t="shared" si="0"/>
        <v>-1.3878719627567551E-2</v>
      </c>
      <c r="H23" s="2">
        <f t="shared" si="1"/>
        <v>151.98399963378839</v>
      </c>
      <c r="I23" s="4">
        <f t="shared" si="2"/>
        <v>1.3410374677420289</v>
      </c>
      <c r="J23">
        <v>150.58999633789</v>
      </c>
      <c r="K23">
        <v>53833600</v>
      </c>
    </row>
    <row r="24" spans="1:11" x14ac:dyDescent="0.3">
      <c r="A24" t="s">
        <v>8</v>
      </c>
      <c r="B24" s="1">
        <v>44995</v>
      </c>
      <c r="C24">
        <v>150.21000671386699</v>
      </c>
      <c r="D24">
        <v>150.94000244140599</v>
      </c>
      <c r="E24">
        <v>147.61000061035099</v>
      </c>
      <c r="F24">
        <v>148.5</v>
      </c>
      <c r="G24" s="2">
        <f t="shared" si="0"/>
        <v>1.3266001486215564E-2</v>
      </c>
      <c r="H24" s="2">
        <f t="shared" si="1"/>
        <v>151.47799987792919</v>
      </c>
      <c r="I24" s="4">
        <f t="shared" si="2"/>
        <v>2.0701137053776431</v>
      </c>
      <c r="J24">
        <v>148.5</v>
      </c>
      <c r="K24">
        <v>68572400</v>
      </c>
    </row>
    <row r="25" spans="1:11" x14ac:dyDescent="0.3">
      <c r="A25" t="s">
        <v>8</v>
      </c>
      <c r="B25" s="1">
        <v>44998</v>
      </c>
      <c r="C25">
        <v>147.80999755859301</v>
      </c>
      <c r="D25">
        <v>153.13999938964801</v>
      </c>
      <c r="E25">
        <v>147.69999694824199</v>
      </c>
      <c r="F25">
        <v>150.47000122070301</v>
      </c>
      <c r="G25" s="2">
        <f t="shared" si="0"/>
        <v>1.4089154648689539E-2</v>
      </c>
      <c r="H25" s="2">
        <f t="shared" si="1"/>
        <v>150.80599975585898</v>
      </c>
      <c r="I25" s="4">
        <f t="shared" si="2"/>
        <v>1.6099464508116803</v>
      </c>
      <c r="J25">
        <v>150.47000122070301</v>
      </c>
      <c r="K25">
        <v>84457100</v>
      </c>
    </row>
    <row r="26" spans="1:11" x14ac:dyDescent="0.3">
      <c r="A26" t="s">
        <v>8</v>
      </c>
      <c r="B26" s="1">
        <v>44999</v>
      </c>
      <c r="C26">
        <v>151.27999877929599</v>
      </c>
      <c r="D26">
        <v>153.39999389648401</v>
      </c>
      <c r="E26">
        <v>150.100006103515</v>
      </c>
      <c r="F26">
        <v>152.58999633789</v>
      </c>
      <c r="G26" s="2">
        <f t="shared" si="0"/>
        <v>2.6214638238029673E-3</v>
      </c>
      <c r="H26" s="2">
        <f t="shared" si="1"/>
        <v>151.00399780273401</v>
      </c>
      <c r="I26" s="4">
        <f t="shared" si="2"/>
        <v>1.7835282370678349</v>
      </c>
      <c r="J26">
        <v>152.58999633789</v>
      </c>
      <c r="K26">
        <v>73695900</v>
      </c>
    </row>
    <row r="27" spans="1:11" x14ac:dyDescent="0.3">
      <c r="A27" t="s">
        <v>8</v>
      </c>
      <c r="B27" s="1">
        <v>45000</v>
      </c>
      <c r="C27">
        <v>151.19000244140599</v>
      </c>
      <c r="D27">
        <v>153.25</v>
      </c>
      <c r="E27">
        <v>149.919998168945</v>
      </c>
      <c r="F27">
        <v>152.99000549316401</v>
      </c>
      <c r="G27" s="2">
        <f t="shared" si="0"/>
        <v>1.8694035607958629E-2</v>
      </c>
      <c r="H27" s="2">
        <f t="shared" si="1"/>
        <v>151.0279998779294</v>
      </c>
      <c r="I27" s="4">
        <f t="shared" si="2"/>
        <v>1.815440164292542</v>
      </c>
      <c r="J27">
        <v>152.99000549316401</v>
      </c>
      <c r="K27">
        <v>77167900</v>
      </c>
    </row>
    <row r="28" spans="1:11" x14ac:dyDescent="0.3">
      <c r="A28" t="s">
        <v>8</v>
      </c>
      <c r="B28" s="1">
        <v>45001</v>
      </c>
      <c r="C28">
        <v>152.16000366210901</v>
      </c>
      <c r="D28">
        <v>156.46000671386699</v>
      </c>
      <c r="E28">
        <v>151.63999938964801</v>
      </c>
      <c r="F28">
        <v>155.850006103515</v>
      </c>
      <c r="G28" s="2">
        <f t="shared" si="0"/>
        <v>-5.4540010922452505E-3</v>
      </c>
      <c r="H28" s="2">
        <f t="shared" si="1"/>
        <v>152.0800018310544</v>
      </c>
      <c r="I28" s="4">
        <f t="shared" si="2"/>
        <v>2.7708143366216031</v>
      </c>
      <c r="J28">
        <v>155.850006103515</v>
      </c>
      <c r="K28">
        <v>76161100</v>
      </c>
    </row>
    <row r="29" spans="1:11" x14ac:dyDescent="0.3">
      <c r="A29" t="s">
        <v>8</v>
      </c>
      <c r="B29" s="1">
        <v>45002</v>
      </c>
      <c r="C29">
        <v>156.08000183105401</v>
      </c>
      <c r="D29">
        <v>156.74000549316401</v>
      </c>
      <c r="E29">
        <v>154.27999877929599</v>
      </c>
      <c r="F29">
        <v>155</v>
      </c>
      <c r="G29" s="2">
        <f t="shared" si="0"/>
        <v>1.5483831590219391E-2</v>
      </c>
      <c r="H29" s="2">
        <f t="shared" si="1"/>
        <v>153.38000183105441</v>
      </c>
      <c r="I29" s="4">
        <f t="shared" si="2"/>
        <v>2.119529697150055</v>
      </c>
      <c r="J29">
        <v>155</v>
      </c>
      <c r="K29">
        <v>98944600</v>
      </c>
    </row>
    <row r="30" spans="1:11" x14ac:dyDescent="0.3">
      <c r="A30" t="s">
        <v>8</v>
      </c>
      <c r="B30" s="1">
        <v>45005</v>
      </c>
      <c r="C30">
        <v>155.07000732421801</v>
      </c>
      <c r="D30">
        <v>157.82000732421801</v>
      </c>
      <c r="E30">
        <v>154.14999389648401</v>
      </c>
      <c r="F30">
        <v>157.39999389648401</v>
      </c>
      <c r="G30" s="2">
        <f t="shared" si="0"/>
        <v>1.1944122971493863E-2</v>
      </c>
      <c r="H30" s="2">
        <f t="shared" si="1"/>
        <v>154.76600036621059</v>
      </c>
      <c r="I30" s="4">
        <f t="shared" si="2"/>
        <v>2.0035529382199919</v>
      </c>
      <c r="J30">
        <v>157.39999389648401</v>
      </c>
      <c r="K30">
        <v>73641400</v>
      </c>
    </row>
    <row r="31" spans="1:11" x14ac:dyDescent="0.3">
      <c r="A31" t="s">
        <v>8</v>
      </c>
      <c r="B31" s="1">
        <v>45006</v>
      </c>
      <c r="C31">
        <v>157.32000732421801</v>
      </c>
      <c r="D31">
        <v>159.39999389648401</v>
      </c>
      <c r="E31">
        <v>156.53999328613199</v>
      </c>
      <c r="F31">
        <v>159.27999877929599</v>
      </c>
      <c r="G31" s="2">
        <f t="shared" si="0"/>
        <v>-9.1034465052398424E-3</v>
      </c>
      <c r="H31" s="2">
        <f t="shared" si="1"/>
        <v>156.1040008544918</v>
      </c>
      <c r="I31" s="4">
        <f t="shared" si="2"/>
        <v>2.3846833706944288</v>
      </c>
      <c r="J31">
        <v>159.27999877929599</v>
      </c>
      <c r="K31">
        <v>73938300</v>
      </c>
    </row>
    <row r="32" spans="1:11" x14ac:dyDescent="0.3">
      <c r="A32" t="s">
        <v>8</v>
      </c>
      <c r="B32" s="1">
        <v>45007</v>
      </c>
      <c r="C32">
        <v>159.30000305175699</v>
      </c>
      <c r="D32">
        <v>162.13999938964801</v>
      </c>
      <c r="E32">
        <v>157.80999755859301</v>
      </c>
      <c r="F32">
        <v>157.83000183105401</v>
      </c>
      <c r="G32" s="2">
        <f t="shared" si="0"/>
        <v>6.9694660835425458E-3</v>
      </c>
      <c r="H32" s="2">
        <f t="shared" si="1"/>
        <v>157.0720001220698</v>
      </c>
      <c r="I32" s="4">
        <f t="shared" si="2"/>
        <v>1.6840322491293851</v>
      </c>
      <c r="J32">
        <v>157.83000183105401</v>
      </c>
      <c r="K32">
        <v>75701800</v>
      </c>
    </row>
    <row r="33" spans="1:11" x14ac:dyDescent="0.3">
      <c r="A33" t="s">
        <v>8</v>
      </c>
      <c r="B33" s="1">
        <v>45008</v>
      </c>
      <c r="C33">
        <v>158.83000183105401</v>
      </c>
      <c r="D33">
        <v>161.55000305175699</v>
      </c>
      <c r="E33">
        <v>157.67999267578099</v>
      </c>
      <c r="F33">
        <v>158.92999267578099</v>
      </c>
      <c r="G33" s="2">
        <f t="shared" si="0"/>
        <v>8.3055897882776345E-3</v>
      </c>
      <c r="H33" s="2">
        <f t="shared" si="1"/>
        <v>157.68799743652301</v>
      </c>
      <c r="I33" s="4">
        <f t="shared" si="2"/>
        <v>1.688598676094017</v>
      </c>
      <c r="J33">
        <v>158.92999267578099</v>
      </c>
      <c r="K33">
        <v>67622100</v>
      </c>
    </row>
    <row r="34" spans="1:11" x14ac:dyDescent="0.3">
      <c r="A34" t="s">
        <v>8</v>
      </c>
      <c r="B34" s="1">
        <v>45009</v>
      </c>
      <c r="C34">
        <v>158.86000061035099</v>
      </c>
      <c r="D34">
        <v>160.33999633789</v>
      </c>
      <c r="E34">
        <v>157.850006103515</v>
      </c>
      <c r="F34">
        <v>160.25</v>
      </c>
      <c r="G34" s="2">
        <f t="shared" si="0"/>
        <v>-1.2293299349166965E-2</v>
      </c>
      <c r="H34" s="2">
        <f t="shared" si="1"/>
        <v>158.73799743652302</v>
      </c>
      <c r="I34" s="4">
        <f t="shared" si="2"/>
        <v>1.1436224106030768</v>
      </c>
      <c r="J34">
        <v>160.25</v>
      </c>
      <c r="K34">
        <v>59196500</v>
      </c>
    </row>
    <row r="35" spans="1:11" x14ac:dyDescent="0.3">
      <c r="A35" t="s">
        <v>8</v>
      </c>
      <c r="B35" s="1">
        <v>45012</v>
      </c>
      <c r="C35">
        <v>159.94000244140599</v>
      </c>
      <c r="D35">
        <v>160.77000427246</v>
      </c>
      <c r="E35">
        <v>157.86999511718699</v>
      </c>
      <c r="F35">
        <v>158.27999877929599</v>
      </c>
      <c r="G35" s="2">
        <f t="shared" si="0"/>
        <v>-3.9803189769445271E-3</v>
      </c>
      <c r="H35" s="2">
        <f t="shared" si="1"/>
        <v>158.91399841308538</v>
      </c>
      <c r="I35" s="4">
        <f t="shared" si="2"/>
        <v>0.93489524149027536</v>
      </c>
      <c r="J35">
        <v>158.27999877929599</v>
      </c>
      <c r="K35">
        <v>52390300</v>
      </c>
    </row>
    <row r="36" spans="1:11" x14ac:dyDescent="0.3">
      <c r="A36" t="s">
        <v>8</v>
      </c>
      <c r="B36" s="1">
        <v>45013</v>
      </c>
      <c r="C36">
        <v>157.97000122070301</v>
      </c>
      <c r="D36">
        <v>158.49000549316401</v>
      </c>
      <c r="E36">
        <v>155.97999572753901</v>
      </c>
      <c r="F36">
        <v>157.64999389648401</v>
      </c>
      <c r="G36" s="2">
        <f t="shared" si="0"/>
        <v>1.9790742129838917E-2</v>
      </c>
      <c r="H36" s="2">
        <f t="shared" si="1"/>
        <v>158.58799743652301</v>
      </c>
      <c r="I36" s="4">
        <f t="shared" si="2"/>
        <v>1.0521982247382007</v>
      </c>
      <c r="J36">
        <v>157.64999389648401</v>
      </c>
      <c r="K36">
        <v>45992200</v>
      </c>
    </row>
    <row r="37" spans="1:11" x14ac:dyDescent="0.3">
      <c r="A37" t="s">
        <v>8</v>
      </c>
      <c r="B37" s="1">
        <v>45014</v>
      </c>
      <c r="C37">
        <v>159.36999511718699</v>
      </c>
      <c r="D37">
        <v>161.05000305175699</v>
      </c>
      <c r="E37">
        <v>159.350006103515</v>
      </c>
      <c r="F37">
        <v>160.77000427246</v>
      </c>
      <c r="G37" s="2">
        <f t="shared" si="0"/>
        <v>9.8898817916083237E-3</v>
      </c>
      <c r="H37" s="2">
        <f t="shared" si="1"/>
        <v>159.17599792480422</v>
      </c>
      <c r="I37" s="4">
        <f t="shared" si="2"/>
        <v>1.3120935598919512</v>
      </c>
      <c r="J37">
        <v>160.77000427246</v>
      </c>
      <c r="K37">
        <v>51305700</v>
      </c>
    </row>
    <row r="38" spans="1:11" x14ac:dyDescent="0.3">
      <c r="A38" t="s">
        <v>8</v>
      </c>
      <c r="B38" s="1">
        <v>45015</v>
      </c>
      <c r="C38">
        <v>161.52999877929599</v>
      </c>
      <c r="D38">
        <v>162.47000122070301</v>
      </c>
      <c r="E38">
        <v>161.27000427246</v>
      </c>
      <c r="F38">
        <v>162.36000061035099</v>
      </c>
      <c r="G38" s="2">
        <f t="shared" si="0"/>
        <v>1.5644205941023372E-2</v>
      </c>
      <c r="H38" s="2">
        <f t="shared" si="1"/>
        <v>159.86199951171821</v>
      </c>
      <c r="I38" s="4">
        <f t="shared" si="2"/>
        <v>1.9111986861927346</v>
      </c>
      <c r="J38">
        <v>162.36000061035099</v>
      </c>
      <c r="K38">
        <v>49501700</v>
      </c>
    </row>
    <row r="39" spans="1:11" x14ac:dyDescent="0.3">
      <c r="A39" t="s">
        <v>8</v>
      </c>
      <c r="B39" s="1">
        <v>45016</v>
      </c>
      <c r="C39">
        <v>162.44000244140599</v>
      </c>
      <c r="D39">
        <v>165</v>
      </c>
      <c r="E39">
        <v>161.91000366210901</v>
      </c>
      <c r="F39">
        <v>164.89999389648401</v>
      </c>
      <c r="G39" s="2">
        <f t="shared" si="0"/>
        <v>7.7016635504440325E-3</v>
      </c>
      <c r="H39" s="2">
        <f t="shared" si="1"/>
        <v>160.79199829101501</v>
      </c>
      <c r="I39" s="4">
        <f t="shared" si="2"/>
        <v>2.9798102316664616</v>
      </c>
      <c r="J39">
        <v>164.89999389648401</v>
      </c>
      <c r="K39">
        <v>68749800</v>
      </c>
    </row>
    <row r="40" spans="1:11" x14ac:dyDescent="0.3">
      <c r="A40" t="s">
        <v>8</v>
      </c>
      <c r="B40" s="1">
        <v>45019</v>
      </c>
      <c r="C40">
        <v>164.27000427246</v>
      </c>
      <c r="D40">
        <v>166.28999328613199</v>
      </c>
      <c r="E40">
        <v>164.22000122070301</v>
      </c>
      <c r="F40">
        <v>166.169998168945</v>
      </c>
      <c r="G40" s="2">
        <f t="shared" si="0"/>
        <v>-3.2496436906980066E-3</v>
      </c>
      <c r="H40" s="2">
        <f t="shared" si="1"/>
        <v>162.36999816894479</v>
      </c>
      <c r="I40" s="4">
        <f t="shared" si="2"/>
        <v>3.3793268239910872</v>
      </c>
      <c r="J40">
        <v>166.169998168945</v>
      </c>
      <c r="K40">
        <v>56976200</v>
      </c>
    </row>
    <row r="41" spans="1:11" x14ac:dyDescent="0.3">
      <c r="A41" t="s">
        <v>8</v>
      </c>
      <c r="B41" s="1">
        <v>45020</v>
      </c>
      <c r="C41">
        <v>166.600006103515</v>
      </c>
      <c r="D41">
        <v>166.83999633789</v>
      </c>
      <c r="E41">
        <v>165.11000061035099</v>
      </c>
      <c r="F41">
        <v>165.63000488281199</v>
      </c>
      <c r="G41" s="2">
        <f t="shared" si="0"/>
        <v>-1.1290287513425331E-2</v>
      </c>
      <c r="H41" s="2">
        <f t="shared" si="1"/>
        <v>163.96600036621038</v>
      </c>
      <c r="I41" s="4">
        <f t="shared" si="2"/>
        <v>2.3071891723161038</v>
      </c>
      <c r="J41">
        <v>165.63000488281199</v>
      </c>
      <c r="K41">
        <v>46278300</v>
      </c>
    </row>
    <row r="42" spans="1:11" x14ac:dyDescent="0.3">
      <c r="A42" t="s">
        <v>8</v>
      </c>
      <c r="B42" s="1">
        <v>45021</v>
      </c>
      <c r="C42">
        <v>164.74000549316401</v>
      </c>
      <c r="D42">
        <v>165.05000305175699</v>
      </c>
      <c r="E42">
        <v>161.80000305175699</v>
      </c>
      <c r="F42">
        <v>163.759994506835</v>
      </c>
      <c r="G42" s="2">
        <f t="shared" si="0"/>
        <v>5.4959036728377602E-3</v>
      </c>
      <c r="H42" s="2">
        <f t="shared" si="1"/>
        <v>164.56399841308539</v>
      </c>
      <c r="I42" s="4">
        <f t="shared" si="2"/>
        <v>1.5274592113955361</v>
      </c>
      <c r="J42">
        <v>163.759994506835</v>
      </c>
      <c r="K42">
        <v>51511700</v>
      </c>
    </row>
    <row r="43" spans="1:11" x14ac:dyDescent="0.3">
      <c r="A43" t="s">
        <v>8</v>
      </c>
      <c r="B43" s="1">
        <v>45022</v>
      </c>
      <c r="C43">
        <v>162.42999267578099</v>
      </c>
      <c r="D43">
        <v>164.96000671386699</v>
      </c>
      <c r="E43">
        <v>162</v>
      </c>
      <c r="F43">
        <v>164.66000366210901</v>
      </c>
      <c r="G43" s="2">
        <f t="shared" si="0"/>
        <v>-1.5972335869795802E-2</v>
      </c>
      <c r="H43" s="2">
        <f t="shared" si="1"/>
        <v>165.023999023437</v>
      </c>
      <c r="I43" s="4">
        <f t="shared" si="2"/>
        <v>0.92549101233764908</v>
      </c>
      <c r="J43">
        <v>164.66000366210901</v>
      </c>
      <c r="K43">
        <v>45390100</v>
      </c>
    </row>
    <row r="44" spans="1:11" x14ac:dyDescent="0.3">
      <c r="A44" t="s">
        <v>8</v>
      </c>
      <c r="B44" s="1">
        <v>45026</v>
      </c>
      <c r="C44">
        <v>161.419998168945</v>
      </c>
      <c r="D44">
        <v>162.02999877929599</v>
      </c>
      <c r="E44">
        <v>160.08000183105401</v>
      </c>
      <c r="F44">
        <v>162.02999877929599</v>
      </c>
      <c r="G44" s="2">
        <f t="shared" si="0"/>
        <v>-7.591160506113471E-3</v>
      </c>
      <c r="H44" s="2">
        <f t="shared" si="1"/>
        <v>164.44999999999942</v>
      </c>
      <c r="I44" s="4">
        <f t="shared" si="2"/>
        <v>1.6376370363682724</v>
      </c>
      <c r="J44">
        <v>162.02999877929599</v>
      </c>
      <c r="K44">
        <v>47716900</v>
      </c>
    </row>
    <row r="45" spans="1:11" x14ac:dyDescent="0.3">
      <c r="A45" t="s">
        <v>8</v>
      </c>
      <c r="B45" s="1">
        <v>45027</v>
      </c>
      <c r="C45">
        <v>162.350006103515</v>
      </c>
      <c r="D45">
        <v>162.36000061035099</v>
      </c>
      <c r="E45">
        <v>160.509994506835</v>
      </c>
      <c r="F45">
        <v>160.80000305175699</v>
      </c>
      <c r="G45" s="2">
        <f t="shared" si="0"/>
        <v>-4.3532147696333017E-3</v>
      </c>
      <c r="H45" s="2">
        <f t="shared" si="1"/>
        <v>163.37600097656178</v>
      </c>
      <c r="I45" s="4">
        <f t="shared" si="2"/>
        <v>1.9573026567714491</v>
      </c>
      <c r="J45">
        <v>160.80000305175699</v>
      </c>
      <c r="K45">
        <v>47644200</v>
      </c>
    </row>
    <row r="46" spans="1:11" x14ac:dyDescent="0.3">
      <c r="A46" t="s">
        <v>8</v>
      </c>
      <c r="B46" s="1">
        <v>45028</v>
      </c>
      <c r="C46">
        <v>161.22000122070301</v>
      </c>
      <c r="D46">
        <v>162.05999755859301</v>
      </c>
      <c r="E46">
        <v>159.77999877929599</v>
      </c>
      <c r="F46">
        <v>160.100006103515</v>
      </c>
      <c r="G46" s="2">
        <f t="shared" si="0"/>
        <v>3.410363052420981E-2</v>
      </c>
      <c r="H46" s="2">
        <f t="shared" si="1"/>
        <v>162.2700012207024</v>
      </c>
      <c r="I46" s="4">
        <f t="shared" si="2"/>
        <v>1.9274053971499363</v>
      </c>
      <c r="J46">
        <v>160.100006103515</v>
      </c>
      <c r="K46">
        <v>50133100</v>
      </c>
    </row>
    <row r="47" spans="1:11" x14ac:dyDescent="0.3">
      <c r="A47" t="s">
        <v>8</v>
      </c>
      <c r="B47" s="1">
        <v>45029</v>
      </c>
      <c r="C47">
        <v>161.63000488281199</v>
      </c>
      <c r="D47">
        <v>165.80000305175699</v>
      </c>
      <c r="E47">
        <v>161.419998168945</v>
      </c>
      <c r="F47">
        <v>165.55999755859301</v>
      </c>
      <c r="G47" s="2">
        <f t="shared" si="0"/>
        <v>-2.1139819394002946E-3</v>
      </c>
      <c r="H47" s="2">
        <f t="shared" si="1"/>
        <v>162.63000183105402</v>
      </c>
      <c r="I47" s="4">
        <f t="shared" si="2"/>
        <v>2.3882818077645593</v>
      </c>
      <c r="J47">
        <v>165.55999755859301</v>
      </c>
      <c r="K47">
        <v>68445600</v>
      </c>
    </row>
    <row r="48" spans="1:11" x14ac:dyDescent="0.3">
      <c r="A48" t="s">
        <v>8</v>
      </c>
      <c r="B48" s="1">
        <v>45030</v>
      </c>
      <c r="C48">
        <v>164.58999633789</v>
      </c>
      <c r="D48">
        <v>166.32000732421801</v>
      </c>
      <c r="E48">
        <v>163.82000732421801</v>
      </c>
      <c r="F48">
        <v>165.21000671386699</v>
      </c>
      <c r="G48" s="2">
        <f t="shared" si="0"/>
        <v>1.2099154324614721E-4</v>
      </c>
      <c r="H48" s="2">
        <f t="shared" si="1"/>
        <v>162.74000244140558</v>
      </c>
      <c r="I48" s="4">
        <f t="shared" si="2"/>
        <v>2.5144868792191066</v>
      </c>
      <c r="J48">
        <v>165.21000671386699</v>
      </c>
      <c r="K48">
        <v>49386500</v>
      </c>
    </row>
    <row r="49" spans="1:11" x14ac:dyDescent="0.3">
      <c r="A49" t="s">
        <v>8</v>
      </c>
      <c r="B49" s="1">
        <v>45033</v>
      </c>
      <c r="C49">
        <v>165.08999633789</v>
      </c>
      <c r="D49">
        <v>165.38999938964801</v>
      </c>
      <c r="E49">
        <v>164.02999877929599</v>
      </c>
      <c r="F49">
        <v>165.22999572753901</v>
      </c>
      <c r="G49" s="2">
        <f t="shared" si="0"/>
        <v>7.5047238711350578E-3</v>
      </c>
      <c r="H49" s="2">
        <f t="shared" si="1"/>
        <v>163.38000183105419</v>
      </c>
      <c r="I49" s="4">
        <f t="shared" si="2"/>
        <v>2.6897277898556791</v>
      </c>
      <c r="J49">
        <v>165.22999572753901</v>
      </c>
      <c r="K49">
        <v>41516200</v>
      </c>
    </row>
    <row r="50" spans="1:11" x14ac:dyDescent="0.3">
      <c r="A50" t="s">
        <v>8</v>
      </c>
      <c r="B50" s="1">
        <v>45034</v>
      </c>
      <c r="C50">
        <v>166.100006103515</v>
      </c>
      <c r="D50">
        <v>167.41000366210901</v>
      </c>
      <c r="E50">
        <v>165.64999389648401</v>
      </c>
      <c r="F50">
        <v>166.47000122070301</v>
      </c>
      <c r="G50" s="2">
        <f t="shared" si="0"/>
        <v>6.9682444500680013E-3</v>
      </c>
      <c r="H50" s="2">
        <f t="shared" si="1"/>
        <v>164.5140014648434</v>
      </c>
      <c r="I50" s="4">
        <f t="shared" si="2"/>
        <v>2.5199438988682044</v>
      </c>
      <c r="J50">
        <v>166.47000122070301</v>
      </c>
      <c r="K50">
        <v>49923000</v>
      </c>
    </row>
    <row r="51" spans="1:11" x14ac:dyDescent="0.3">
      <c r="A51" t="s">
        <v>8</v>
      </c>
      <c r="B51" s="1">
        <v>45035</v>
      </c>
      <c r="C51">
        <v>165.80000305175699</v>
      </c>
      <c r="D51">
        <v>168.16000366210901</v>
      </c>
      <c r="E51">
        <v>165.53999328613199</v>
      </c>
      <c r="F51">
        <v>167.63000488281199</v>
      </c>
      <c r="G51" s="2">
        <f t="shared" si="0"/>
        <v>-5.8462742813441791E-3</v>
      </c>
      <c r="H51" s="2">
        <f t="shared" si="1"/>
        <v>166.0200012207028</v>
      </c>
      <c r="I51" s="4">
        <f t="shared" si="2"/>
        <v>1.0351829477793726</v>
      </c>
      <c r="J51">
        <v>167.63000488281199</v>
      </c>
      <c r="K51">
        <v>47720200</v>
      </c>
    </row>
    <row r="52" spans="1:11" x14ac:dyDescent="0.3">
      <c r="A52" t="s">
        <v>8</v>
      </c>
      <c r="B52" s="1">
        <v>45036</v>
      </c>
      <c r="C52">
        <v>166.08999633789</v>
      </c>
      <c r="D52">
        <v>167.86999511718699</v>
      </c>
      <c r="E52">
        <v>165.55999755859301</v>
      </c>
      <c r="F52">
        <v>166.64999389648401</v>
      </c>
      <c r="G52" s="2">
        <f t="shared" si="0"/>
        <v>-9.7809161939513018E-3</v>
      </c>
      <c r="H52" s="2">
        <f t="shared" si="1"/>
        <v>166.23800048828099</v>
      </c>
      <c r="I52" s="4">
        <f t="shared" si="2"/>
        <v>1.0288444902599654</v>
      </c>
      <c r="J52">
        <v>166.64999389648401</v>
      </c>
      <c r="K52">
        <v>52456400</v>
      </c>
    </row>
    <row r="53" spans="1:11" x14ac:dyDescent="0.3">
      <c r="A53" t="s">
        <v>8</v>
      </c>
      <c r="B53" s="1">
        <v>45037</v>
      </c>
      <c r="C53">
        <v>165.05000305175699</v>
      </c>
      <c r="D53">
        <v>166.44999694824199</v>
      </c>
      <c r="E53">
        <v>164.49000549316401</v>
      </c>
      <c r="F53">
        <v>165.02000427246</v>
      </c>
      <c r="G53" s="2">
        <f t="shared" si="0"/>
        <v>1.8785453312810327E-3</v>
      </c>
      <c r="H53" s="2">
        <f t="shared" si="1"/>
        <v>166.19999999999962</v>
      </c>
      <c r="I53" s="4">
        <f t="shared" si="2"/>
        <v>1.0786110671281541</v>
      </c>
      <c r="J53">
        <v>165.02000427246</v>
      </c>
      <c r="K53">
        <v>58337300</v>
      </c>
    </row>
    <row r="54" spans="1:11" x14ac:dyDescent="0.3">
      <c r="A54" t="s">
        <v>8</v>
      </c>
      <c r="B54" s="1">
        <v>45040</v>
      </c>
      <c r="C54">
        <v>165</v>
      </c>
      <c r="D54">
        <v>165.600006103515</v>
      </c>
      <c r="E54">
        <v>163.88999938964801</v>
      </c>
      <c r="F54">
        <v>165.33000183105401</v>
      </c>
      <c r="G54" s="2">
        <f t="shared" si="0"/>
        <v>-9.4356592349652459E-3</v>
      </c>
      <c r="H54" s="2">
        <f t="shared" si="1"/>
        <v>166.22000122070261</v>
      </c>
      <c r="I54" s="4">
        <f t="shared" si="2"/>
        <v>1.0568343789064314</v>
      </c>
      <c r="J54">
        <v>165.33000183105401</v>
      </c>
      <c r="K54">
        <v>41949600</v>
      </c>
    </row>
    <row r="55" spans="1:11" x14ac:dyDescent="0.3">
      <c r="A55" t="s">
        <v>8</v>
      </c>
      <c r="B55" s="1">
        <v>45041</v>
      </c>
      <c r="C55">
        <v>165.19000244140599</v>
      </c>
      <c r="D55">
        <v>166.30999755859301</v>
      </c>
      <c r="E55">
        <v>163.72999572753901</v>
      </c>
      <c r="F55">
        <v>163.77000427246</v>
      </c>
      <c r="G55" s="2">
        <f t="shared" si="0"/>
        <v>-6.1120872955141453E-5</v>
      </c>
      <c r="H55" s="2">
        <f t="shared" si="1"/>
        <v>165.680001831054</v>
      </c>
      <c r="I55" s="4">
        <f t="shared" si="2"/>
        <v>1.4957927630564096</v>
      </c>
      <c r="J55">
        <v>163.77000427246</v>
      </c>
      <c r="K55">
        <v>48714100</v>
      </c>
    </row>
    <row r="56" spans="1:11" x14ac:dyDescent="0.3">
      <c r="A56" t="s">
        <v>8</v>
      </c>
      <c r="B56" s="1">
        <v>45042</v>
      </c>
      <c r="C56">
        <v>163.05999755859301</v>
      </c>
      <c r="D56">
        <v>165.27999877929599</v>
      </c>
      <c r="E56">
        <v>162.80000305175699</v>
      </c>
      <c r="F56">
        <v>163.759994506835</v>
      </c>
      <c r="G56" s="2">
        <f t="shared" si="0"/>
        <v>2.8395269365253457E-2</v>
      </c>
      <c r="H56" s="2">
        <f t="shared" si="1"/>
        <v>164.9059997558586</v>
      </c>
      <c r="I56" s="4">
        <f t="shared" si="2"/>
        <v>1.2081084513820499</v>
      </c>
      <c r="J56">
        <v>163.759994506835</v>
      </c>
      <c r="K56">
        <v>45498800</v>
      </c>
    </row>
    <row r="57" spans="1:11" x14ac:dyDescent="0.3">
      <c r="A57" t="s">
        <v>8</v>
      </c>
      <c r="B57" s="1">
        <v>45043</v>
      </c>
      <c r="C57">
        <v>165.19000244140599</v>
      </c>
      <c r="D57">
        <v>168.55999755859301</v>
      </c>
      <c r="E57">
        <v>165.19000244140599</v>
      </c>
      <c r="F57">
        <v>168.41000366210901</v>
      </c>
      <c r="G57" s="2">
        <f t="shared" si="0"/>
        <v>7.5410544864071326E-3</v>
      </c>
      <c r="H57" s="2">
        <f t="shared" si="1"/>
        <v>165.25800170898361</v>
      </c>
      <c r="I57" s="4">
        <f t="shared" si="2"/>
        <v>1.9009934941147362</v>
      </c>
      <c r="J57">
        <v>168.41000366210901</v>
      </c>
      <c r="K57">
        <v>64902300</v>
      </c>
    </row>
    <row r="58" spans="1:11" x14ac:dyDescent="0.3">
      <c r="A58" t="s">
        <v>8</v>
      </c>
      <c r="B58" s="1">
        <v>45044</v>
      </c>
      <c r="C58">
        <v>168.49000549316401</v>
      </c>
      <c r="D58">
        <v>169.850006103515</v>
      </c>
      <c r="E58">
        <v>167.88000488281199</v>
      </c>
      <c r="F58">
        <v>169.67999267578099</v>
      </c>
      <c r="G58" s="2">
        <f t="shared" si="0"/>
        <v>-5.3038862432624307E-4</v>
      </c>
      <c r="H58" s="2">
        <f t="shared" si="1"/>
        <v>166.18999938964782</v>
      </c>
      <c r="I58" s="4">
        <f t="shared" si="2"/>
        <v>2.7207245361068306</v>
      </c>
      <c r="J58">
        <v>169.67999267578099</v>
      </c>
      <c r="K58">
        <v>55209200</v>
      </c>
    </row>
    <row r="59" spans="1:11" x14ac:dyDescent="0.3">
      <c r="A59" t="s">
        <v>8</v>
      </c>
      <c r="B59" s="1">
        <v>45047</v>
      </c>
      <c r="C59">
        <v>169.27999877929599</v>
      </c>
      <c r="D59">
        <v>170.44999694824199</v>
      </c>
      <c r="E59">
        <v>168.63999938964801</v>
      </c>
      <c r="F59">
        <v>169.58999633789</v>
      </c>
      <c r="G59" s="2">
        <f t="shared" si="0"/>
        <v>-6.1914209235902819E-3</v>
      </c>
      <c r="H59" s="2">
        <f t="shared" si="1"/>
        <v>167.04199829101498</v>
      </c>
      <c r="I59" s="4">
        <f t="shared" si="2"/>
        <v>3.0331601018207612</v>
      </c>
      <c r="J59">
        <v>169.58999633789</v>
      </c>
      <c r="K59">
        <v>52472900</v>
      </c>
    </row>
    <row r="60" spans="1:11" x14ac:dyDescent="0.3">
      <c r="A60" t="s">
        <v>8</v>
      </c>
      <c r="B60" s="1">
        <v>45048</v>
      </c>
      <c r="C60">
        <v>170.08999633789</v>
      </c>
      <c r="D60">
        <v>170.350006103515</v>
      </c>
      <c r="E60">
        <v>167.53999328613199</v>
      </c>
      <c r="F60">
        <v>168.53999328613199</v>
      </c>
      <c r="G60" s="2">
        <f t="shared" si="0"/>
        <v>-6.4672859932983521E-3</v>
      </c>
      <c r="H60" s="2">
        <f t="shared" si="1"/>
        <v>167.9959960937494</v>
      </c>
      <c r="I60" s="4">
        <f t="shared" si="2"/>
        <v>2.4386331172879858</v>
      </c>
      <c r="J60">
        <v>168.53999328613199</v>
      </c>
      <c r="K60">
        <v>48425700</v>
      </c>
    </row>
    <row r="61" spans="1:11" x14ac:dyDescent="0.3">
      <c r="A61" t="s">
        <v>8</v>
      </c>
      <c r="B61" s="1">
        <v>45049</v>
      </c>
      <c r="C61">
        <v>169.5</v>
      </c>
      <c r="D61">
        <v>170.919998168945</v>
      </c>
      <c r="E61">
        <v>167.16000366210901</v>
      </c>
      <c r="F61">
        <v>167.44999694824199</v>
      </c>
      <c r="G61" s="2">
        <f t="shared" si="0"/>
        <v>-9.9134290377031163E-3</v>
      </c>
      <c r="H61" s="2">
        <f t="shared" si="1"/>
        <v>168.73399658203078</v>
      </c>
      <c r="I61" s="4">
        <f t="shared" si="2"/>
        <v>0.92451445932047083</v>
      </c>
      <c r="J61">
        <v>167.44999694824199</v>
      </c>
      <c r="K61">
        <v>65136000</v>
      </c>
    </row>
    <row r="62" spans="1:11" x14ac:dyDescent="0.3">
      <c r="A62" t="s">
        <v>8</v>
      </c>
      <c r="B62" s="1">
        <v>45050</v>
      </c>
      <c r="C62">
        <v>164.88999938964801</v>
      </c>
      <c r="D62">
        <v>167.03999328613199</v>
      </c>
      <c r="E62">
        <v>164.30999755859301</v>
      </c>
      <c r="F62">
        <v>165.78999328613199</v>
      </c>
      <c r="G62" s="2">
        <f t="shared" si="0"/>
        <v>4.6926921727167989E-2</v>
      </c>
      <c r="H62" s="2">
        <f t="shared" si="1"/>
        <v>168.20999450683539</v>
      </c>
      <c r="I62" s="4">
        <f t="shared" si="2"/>
        <v>1.6285116718977359</v>
      </c>
      <c r="J62">
        <v>165.78999328613199</v>
      </c>
      <c r="K62">
        <v>81235400</v>
      </c>
    </row>
    <row r="63" spans="1:11" x14ac:dyDescent="0.3">
      <c r="A63" t="s">
        <v>8</v>
      </c>
      <c r="B63" s="1">
        <v>45051</v>
      </c>
      <c r="C63">
        <v>170.97999572753901</v>
      </c>
      <c r="D63">
        <v>174.30000305175699</v>
      </c>
      <c r="E63">
        <v>170.759994506835</v>
      </c>
      <c r="F63">
        <v>173.57000732421801</v>
      </c>
      <c r="G63" s="2">
        <f t="shared" si="0"/>
        <v>0</v>
      </c>
      <c r="H63" s="2">
        <f t="shared" si="1"/>
        <v>168.98799743652279</v>
      </c>
      <c r="I63" s="4">
        <f t="shared" si="2"/>
        <v>2.9219257799788596</v>
      </c>
      <c r="J63">
        <v>173.57000732421801</v>
      </c>
      <c r="K63">
        <v>113316400</v>
      </c>
    </row>
    <row r="64" spans="1:11" x14ac:dyDescent="0.3">
      <c r="A64" t="s">
        <v>9</v>
      </c>
      <c r="B64" s="1">
        <v>44964</v>
      </c>
      <c r="C64">
        <v>260.52999877929602</v>
      </c>
      <c r="D64">
        <v>268.76998901367102</v>
      </c>
      <c r="E64">
        <v>260.079986572265</v>
      </c>
      <c r="F64">
        <v>267.55999755859301</v>
      </c>
      <c r="G64" s="2">
        <f t="shared" si="0"/>
        <v>-3.1020577808281704E-3</v>
      </c>
      <c r="H64" s="2" t="str">
        <f t="shared" si="1"/>
        <v/>
      </c>
      <c r="I64" s="4" t="str">
        <f t="shared" si="2"/>
        <v/>
      </c>
      <c r="J64">
        <v>266.891510009765</v>
      </c>
      <c r="K64">
        <v>50841400</v>
      </c>
    </row>
    <row r="65" spans="1:11" x14ac:dyDescent="0.3">
      <c r="A65" t="s">
        <v>9</v>
      </c>
      <c r="B65" s="1">
        <v>44965</v>
      </c>
      <c r="C65">
        <v>273.20001220703102</v>
      </c>
      <c r="D65">
        <v>276.760009765625</v>
      </c>
      <c r="E65">
        <v>266.20999145507801</v>
      </c>
      <c r="F65">
        <v>266.73001098632801</v>
      </c>
      <c r="G65" s="2">
        <f t="shared" si="0"/>
        <v>-1.1659789828825956E-2</v>
      </c>
      <c r="H65" s="2" t="str">
        <f t="shared" si="1"/>
        <v/>
      </c>
      <c r="I65" s="4" t="str">
        <f t="shared" si="2"/>
        <v/>
      </c>
      <c r="J65">
        <v>266.06359863281199</v>
      </c>
      <c r="K65">
        <v>54686000</v>
      </c>
    </row>
    <row r="66" spans="1:11" x14ac:dyDescent="0.3">
      <c r="A66" t="s">
        <v>9</v>
      </c>
      <c r="B66" s="1">
        <v>44966</v>
      </c>
      <c r="C66">
        <v>273.79998779296801</v>
      </c>
      <c r="D66">
        <v>273.98001098632801</v>
      </c>
      <c r="E66">
        <v>262.79998779296801</v>
      </c>
      <c r="F66">
        <v>263.61999511718699</v>
      </c>
      <c r="G66" s="2">
        <f t="shared" si="0"/>
        <v>-1.9724945880559555E-3</v>
      </c>
      <c r="H66" s="2" t="str">
        <f t="shared" si="1"/>
        <v/>
      </c>
      <c r="I66" s="4" t="str">
        <f t="shared" si="2"/>
        <v/>
      </c>
      <c r="J66">
        <v>262.96136474609301</v>
      </c>
      <c r="K66">
        <v>42375100</v>
      </c>
    </row>
    <row r="67" spans="1:11" x14ac:dyDescent="0.3">
      <c r="A67" t="s">
        <v>9</v>
      </c>
      <c r="B67" s="1">
        <v>44967</v>
      </c>
      <c r="C67">
        <v>261.52999877929602</v>
      </c>
      <c r="D67">
        <v>264.08999633789</v>
      </c>
      <c r="E67">
        <v>260.66000366210898</v>
      </c>
      <c r="F67">
        <v>263.100006103515</v>
      </c>
      <c r="G67" s="2">
        <f t="shared" ref="G67:G130" si="3">IF(A68=A67,(F68-F67)/F67,0)</f>
        <v>3.1242877347060587E-2</v>
      </c>
      <c r="H67" s="2" t="str">
        <f t="shared" si="1"/>
        <v/>
      </c>
      <c r="I67" s="4" t="str">
        <f t="shared" si="2"/>
        <v/>
      </c>
      <c r="J67">
        <v>262.44265747070301</v>
      </c>
      <c r="K67">
        <v>25818500</v>
      </c>
    </row>
    <row r="68" spans="1:11" x14ac:dyDescent="0.3">
      <c r="A68" t="s">
        <v>9</v>
      </c>
      <c r="B68" s="1">
        <v>44970</v>
      </c>
      <c r="C68">
        <v>267.64001464843699</v>
      </c>
      <c r="D68">
        <v>274.600006103515</v>
      </c>
      <c r="E68">
        <v>267.14999389648398</v>
      </c>
      <c r="F68">
        <v>271.32000732421801</v>
      </c>
      <c r="G68" s="2">
        <f t="shared" si="3"/>
        <v>3.1328544912658735E-3</v>
      </c>
      <c r="H68" s="2">
        <f t="shared" si="1"/>
        <v>266.46600341796818</v>
      </c>
      <c r="I68" s="4">
        <f t="shared" si="2"/>
        <v>3.3263184704257807</v>
      </c>
      <c r="J68">
        <v>270.64212036132801</v>
      </c>
      <c r="K68">
        <v>44630900</v>
      </c>
    </row>
    <row r="69" spans="1:11" x14ac:dyDescent="0.3">
      <c r="A69" t="s">
        <v>9</v>
      </c>
      <c r="B69" s="1">
        <v>44971</v>
      </c>
      <c r="C69">
        <v>272.67001342773398</v>
      </c>
      <c r="D69">
        <v>274.97000122070301</v>
      </c>
      <c r="E69">
        <v>269.27999877929602</v>
      </c>
      <c r="F69">
        <v>272.17001342773398</v>
      </c>
      <c r="G69" s="2">
        <f t="shared" si="3"/>
        <v>-1.0471418462389479E-2</v>
      </c>
      <c r="H69" s="2">
        <f t="shared" si="1"/>
        <v>267.3880065917964</v>
      </c>
      <c r="I69" s="4">
        <f t="shared" si="2"/>
        <v>4.223329137535436</v>
      </c>
      <c r="J69">
        <v>271.49002075195301</v>
      </c>
      <c r="K69">
        <v>37047900</v>
      </c>
    </row>
    <row r="70" spans="1:11" x14ac:dyDescent="0.3">
      <c r="A70" t="s">
        <v>9</v>
      </c>
      <c r="B70" s="1">
        <v>44972</v>
      </c>
      <c r="C70">
        <v>268.32000732421801</v>
      </c>
      <c r="D70">
        <v>270.73001098632801</v>
      </c>
      <c r="E70">
        <v>266.17999267578102</v>
      </c>
      <c r="F70">
        <v>269.32000732421801</v>
      </c>
      <c r="G70" s="2">
        <f t="shared" si="3"/>
        <v>-2.6622654213366667E-2</v>
      </c>
      <c r="H70" s="2">
        <f t="shared" si="1"/>
        <v>267.90600585937443</v>
      </c>
      <c r="I70" s="4">
        <f t="shared" si="2"/>
        <v>4.2808903403097247</v>
      </c>
      <c r="J70">
        <v>269.32000732421801</v>
      </c>
      <c r="K70">
        <v>28922400</v>
      </c>
    </row>
    <row r="71" spans="1:11" x14ac:dyDescent="0.3">
      <c r="A71" t="s">
        <v>9</v>
      </c>
      <c r="B71" s="1">
        <v>44973</v>
      </c>
      <c r="C71">
        <v>264.01998901367102</v>
      </c>
      <c r="D71">
        <v>266.739990234375</v>
      </c>
      <c r="E71">
        <v>261.89999389648398</v>
      </c>
      <c r="F71">
        <v>262.14999389648398</v>
      </c>
      <c r="G71" s="2">
        <f t="shared" si="3"/>
        <v>-1.5601741114310291E-2</v>
      </c>
      <c r="H71" s="2">
        <f t="shared" ref="H71:H134" si="4">IF(A71=A67, AVERAGE(F67:F71), "")</f>
        <v>267.61200561523378</v>
      </c>
      <c r="I71" s="4">
        <f t="shared" ref="I71:I134" si="5">IF(A71=A67, STDEV(F67:F71), "")</f>
        <v>4.6806434744607115</v>
      </c>
      <c r="J71">
        <v>262.14999389648398</v>
      </c>
      <c r="K71">
        <v>29603600</v>
      </c>
    </row>
    <row r="72" spans="1:11" x14ac:dyDescent="0.3">
      <c r="A72" t="s">
        <v>9</v>
      </c>
      <c r="B72" s="1">
        <v>44974</v>
      </c>
      <c r="C72">
        <v>259.39001464843699</v>
      </c>
      <c r="D72">
        <v>260.08999633789</v>
      </c>
      <c r="E72">
        <v>256</v>
      </c>
      <c r="F72">
        <v>258.05999755859301</v>
      </c>
      <c r="G72" s="2">
        <f t="shared" si="3"/>
        <v>-2.088661334821644E-2</v>
      </c>
      <c r="H72" s="2">
        <f t="shared" si="4"/>
        <v>266.60400390624943</v>
      </c>
      <c r="I72" s="4">
        <f t="shared" si="5"/>
        <v>6.193465799410073</v>
      </c>
      <c r="J72">
        <v>258.05999755859301</v>
      </c>
      <c r="K72">
        <v>30000100</v>
      </c>
    </row>
    <row r="73" spans="1:11" x14ac:dyDescent="0.3">
      <c r="A73" t="s">
        <v>9</v>
      </c>
      <c r="B73" s="1">
        <v>44978</v>
      </c>
      <c r="C73">
        <v>254.47999572753901</v>
      </c>
      <c r="D73">
        <v>255.49000549316401</v>
      </c>
      <c r="E73">
        <v>251.58999633789</v>
      </c>
      <c r="F73">
        <v>252.669998168945</v>
      </c>
      <c r="G73" s="2">
        <f t="shared" si="3"/>
        <v>-4.5909829837984034E-3</v>
      </c>
      <c r="H73" s="2">
        <f t="shared" si="4"/>
        <v>262.87400207519482</v>
      </c>
      <c r="I73" s="4">
        <f t="shared" si="5"/>
        <v>7.9966763999869945</v>
      </c>
      <c r="J73">
        <v>252.669998168945</v>
      </c>
      <c r="K73">
        <v>28397400</v>
      </c>
    </row>
    <row r="74" spans="1:11" x14ac:dyDescent="0.3">
      <c r="A74" t="s">
        <v>9</v>
      </c>
      <c r="B74" s="1">
        <v>44979</v>
      </c>
      <c r="C74">
        <v>254.08999633789</v>
      </c>
      <c r="D74">
        <v>254.33999633789</v>
      </c>
      <c r="E74">
        <v>250.33999633789</v>
      </c>
      <c r="F74">
        <v>251.509994506835</v>
      </c>
      <c r="G74" s="2">
        <f t="shared" si="3"/>
        <v>1.2961750375038899E-2</v>
      </c>
      <c r="H74" s="2">
        <f t="shared" si="4"/>
        <v>258.74199829101502</v>
      </c>
      <c r="I74" s="4">
        <f t="shared" si="5"/>
        <v>7.2997414058522718</v>
      </c>
      <c r="J74">
        <v>251.509994506835</v>
      </c>
      <c r="K74">
        <v>22491100</v>
      </c>
    </row>
    <row r="75" spans="1:11" x14ac:dyDescent="0.3">
      <c r="A75" t="s">
        <v>9</v>
      </c>
      <c r="B75" s="1">
        <v>44980</v>
      </c>
      <c r="C75">
        <v>255.55999755859301</v>
      </c>
      <c r="D75">
        <v>256.83999633789</v>
      </c>
      <c r="E75">
        <v>250.47999572753901</v>
      </c>
      <c r="F75">
        <v>254.77000427246</v>
      </c>
      <c r="G75" s="2">
        <f t="shared" si="3"/>
        <v>-2.178436612899539E-2</v>
      </c>
      <c r="H75" s="2">
        <f t="shared" si="4"/>
        <v>255.83199768066339</v>
      </c>
      <c r="I75" s="4">
        <f t="shared" si="5"/>
        <v>4.3210774693626801</v>
      </c>
      <c r="J75">
        <v>254.77000427246</v>
      </c>
      <c r="K75">
        <v>29219100</v>
      </c>
    </row>
    <row r="76" spans="1:11" x14ac:dyDescent="0.3">
      <c r="A76" t="s">
        <v>9</v>
      </c>
      <c r="B76" s="1">
        <v>44981</v>
      </c>
      <c r="C76">
        <v>249.96000671386699</v>
      </c>
      <c r="D76">
        <v>251</v>
      </c>
      <c r="E76">
        <v>248.100006103515</v>
      </c>
      <c r="F76">
        <v>249.22000122070301</v>
      </c>
      <c r="G76" s="2">
        <f t="shared" si="3"/>
        <v>3.771777693611162E-3</v>
      </c>
      <c r="H76" s="2">
        <f t="shared" si="4"/>
        <v>253.24599914550723</v>
      </c>
      <c r="I76" s="4">
        <f t="shared" si="5"/>
        <v>3.3560140371127307</v>
      </c>
      <c r="J76">
        <v>249.22000122070301</v>
      </c>
      <c r="K76">
        <v>24990900</v>
      </c>
    </row>
    <row r="77" spans="1:11" x14ac:dyDescent="0.3">
      <c r="A77" t="s">
        <v>9</v>
      </c>
      <c r="B77" s="1">
        <v>44984</v>
      </c>
      <c r="C77">
        <v>252.46000671386699</v>
      </c>
      <c r="D77">
        <v>252.82000732421801</v>
      </c>
      <c r="E77">
        <v>249.38999938964801</v>
      </c>
      <c r="F77">
        <v>250.16000366210901</v>
      </c>
      <c r="G77" s="2">
        <f t="shared" si="3"/>
        <v>-2.9581287269388225E-3</v>
      </c>
      <c r="H77" s="2">
        <f t="shared" si="4"/>
        <v>251.6660003662104</v>
      </c>
      <c r="I77" s="4">
        <f t="shared" si="5"/>
        <v>2.1747486957494235</v>
      </c>
      <c r="J77">
        <v>250.16000366210901</v>
      </c>
      <c r="K77">
        <v>21190000</v>
      </c>
    </row>
    <row r="78" spans="1:11" x14ac:dyDescent="0.3">
      <c r="A78" t="s">
        <v>9</v>
      </c>
      <c r="B78" s="1">
        <v>44985</v>
      </c>
      <c r="C78">
        <v>249.07000732421801</v>
      </c>
      <c r="D78">
        <v>251.49000549316401</v>
      </c>
      <c r="E78">
        <v>248.72999572753901</v>
      </c>
      <c r="F78">
        <v>249.419998168945</v>
      </c>
      <c r="G78" s="2">
        <f t="shared" si="3"/>
        <v>-1.2629275597826551E-2</v>
      </c>
      <c r="H78" s="2">
        <f t="shared" si="4"/>
        <v>251.01600036621039</v>
      </c>
      <c r="I78" s="4">
        <f t="shared" si="5"/>
        <v>2.2826597337798948</v>
      </c>
      <c r="J78">
        <v>249.419998168945</v>
      </c>
      <c r="K78">
        <v>22491000</v>
      </c>
    </row>
    <row r="79" spans="1:11" x14ac:dyDescent="0.3">
      <c r="A79" t="s">
        <v>9</v>
      </c>
      <c r="B79" s="1">
        <v>44986</v>
      </c>
      <c r="C79">
        <v>250.759994506835</v>
      </c>
      <c r="D79">
        <v>250.92999267578099</v>
      </c>
      <c r="E79">
        <v>245.78999328613199</v>
      </c>
      <c r="F79">
        <v>246.27000427246</v>
      </c>
      <c r="G79" s="2">
        <f t="shared" si="3"/>
        <v>1.9653210922659831E-2</v>
      </c>
      <c r="H79" s="2">
        <f t="shared" si="4"/>
        <v>249.9680023193354</v>
      </c>
      <c r="I79" s="4">
        <f t="shared" si="5"/>
        <v>3.0672092780137277</v>
      </c>
      <c r="J79">
        <v>246.27000427246</v>
      </c>
      <c r="K79">
        <v>27565300</v>
      </c>
    </row>
    <row r="80" spans="1:11" x14ac:dyDescent="0.3">
      <c r="A80" t="s">
        <v>9</v>
      </c>
      <c r="B80" s="1">
        <v>44987</v>
      </c>
      <c r="C80">
        <v>246.55000305175699</v>
      </c>
      <c r="D80">
        <v>251.39999389648401</v>
      </c>
      <c r="E80">
        <v>245.61000061035099</v>
      </c>
      <c r="F80">
        <v>251.11000061035099</v>
      </c>
      <c r="G80" s="2">
        <f t="shared" si="3"/>
        <v>1.6646062146553516E-2</v>
      </c>
      <c r="H80" s="2">
        <f t="shared" si="4"/>
        <v>249.2360015869136</v>
      </c>
      <c r="I80" s="4">
        <f t="shared" si="5"/>
        <v>1.8163770945259277</v>
      </c>
      <c r="J80">
        <v>251.11000061035099</v>
      </c>
      <c r="K80">
        <v>24808200</v>
      </c>
    </row>
    <row r="81" spans="1:11" x14ac:dyDescent="0.3">
      <c r="A81" t="s">
        <v>9</v>
      </c>
      <c r="B81" s="1">
        <v>44988</v>
      </c>
      <c r="C81">
        <v>252.19000244140599</v>
      </c>
      <c r="D81">
        <v>255.61999511718699</v>
      </c>
      <c r="E81">
        <v>251.38999938964801</v>
      </c>
      <c r="F81">
        <v>255.28999328613199</v>
      </c>
      <c r="G81" s="2">
        <f t="shared" si="3"/>
        <v>6.1890472506069428E-3</v>
      </c>
      <c r="H81" s="2">
        <f t="shared" si="4"/>
        <v>250.44999999999942</v>
      </c>
      <c r="I81" s="4">
        <f t="shared" si="5"/>
        <v>3.2587766778994656</v>
      </c>
      <c r="J81">
        <v>255.28999328613199</v>
      </c>
      <c r="K81">
        <v>30760100</v>
      </c>
    </row>
    <row r="82" spans="1:11" x14ac:dyDescent="0.3">
      <c r="A82" t="s">
        <v>9</v>
      </c>
      <c r="B82" s="1">
        <v>44991</v>
      </c>
      <c r="C82">
        <v>256.42999267578102</v>
      </c>
      <c r="D82">
        <v>260.11999511718699</v>
      </c>
      <c r="E82">
        <v>255.97999572753901</v>
      </c>
      <c r="F82">
        <v>256.86999511718699</v>
      </c>
      <c r="G82" s="2">
        <f t="shared" si="3"/>
        <v>-1.0589018851587114E-2</v>
      </c>
      <c r="H82" s="2">
        <f t="shared" si="4"/>
        <v>251.79199829101498</v>
      </c>
      <c r="I82" s="4">
        <f t="shared" si="5"/>
        <v>4.3187366239724749</v>
      </c>
      <c r="J82">
        <v>256.86999511718699</v>
      </c>
      <c r="K82">
        <v>24109800</v>
      </c>
    </row>
    <row r="83" spans="1:11" x14ac:dyDescent="0.3">
      <c r="A83" t="s">
        <v>9</v>
      </c>
      <c r="B83" s="1">
        <v>44992</v>
      </c>
      <c r="C83">
        <v>256.29998779296801</v>
      </c>
      <c r="D83">
        <v>257.69000244140602</v>
      </c>
      <c r="E83">
        <v>253.38999938964801</v>
      </c>
      <c r="F83">
        <v>254.14999389648401</v>
      </c>
      <c r="G83" s="2">
        <f t="shared" si="3"/>
        <v>-1.7705959435328649E-3</v>
      </c>
      <c r="H83" s="2">
        <f t="shared" si="4"/>
        <v>252.73799743652279</v>
      </c>
      <c r="I83" s="4">
        <f t="shared" si="5"/>
        <v>4.1852458377247181</v>
      </c>
      <c r="J83">
        <v>254.14999389648401</v>
      </c>
      <c r="K83">
        <v>21473200</v>
      </c>
    </row>
    <row r="84" spans="1:11" x14ac:dyDescent="0.3">
      <c r="A84" t="s">
        <v>9</v>
      </c>
      <c r="B84" s="1">
        <v>44993</v>
      </c>
      <c r="C84">
        <v>254.03999328613199</v>
      </c>
      <c r="D84">
        <v>254.53999328613199</v>
      </c>
      <c r="E84">
        <v>250.80999755859301</v>
      </c>
      <c r="F84">
        <v>253.69999694824199</v>
      </c>
      <c r="G84" s="2">
        <f t="shared" si="3"/>
        <v>-5.4394546339135864E-3</v>
      </c>
      <c r="H84" s="2">
        <f t="shared" si="4"/>
        <v>254.22399597167924</v>
      </c>
      <c r="I84" s="4">
        <f t="shared" si="5"/>
        <v>2.1280672067934341</v>
      </c>
      <c r="J84">
        <v>253.69999694824199</v>
      </c>
      <c r="K84">
        <v>17340200</v>
      </c>
    </row>
    <row r="85" spans="1:11" x14ac:dyDescent="0.3">
      <c r="A85" t="s">
        <v>9</v>
      </c>
      <c r="B85" s="1">
        <v>44994</v>
      </c>
      <c r="C85">
        <v>255.82000732421801</v>
      </c>
      <c r="D85">
        <v>259.55999755859301</v>
      </c>
      <c r="E85">
        <v>251.58000183105401</v>
      </c>
      <c r="F85">
        <v>252.32000732421801</v>
      </c>
      <c r="G85" s="2">
        <f t="shared" si="3"/>
        <v>-1.4782858584555851E-2</v>
      </c>
      <c r="H85" s="2">
        <f t="shared" si="4"/>
        <v>254.46599731445258</v>
      </c>
      <c r="I85" s="4">
        <f t="shared" si="5"/>
        <v>1.7139182124802006</v>
      </c>
      <c r="J85">
        <v>252.32000732421801</v>
      </c>
      <c r="K85">
        <v>26653400</v>
      </c>
    </row>
    <row r="86" spans="1:11" x14ac:dyDescent="0.3">
      <c r="A86" t="s">
        <v>9</v>
      </c>
      <c r="B86" s="1">
        <v>44995</v>
      </c>
      <c r="C86">
        <v>251.08000183105401</v>
      </c>
      <c r="D86">
        <v>252.78999328613199</v>
      </c>
      <c r="E86">
        <v>247.600006103515</v>
      </c>
      <c r="F86">
        <v>248.58999633789</v>
      </c>
      <c r="G86" s="2">
        <f t="shared" si="3"/>
        <v>2.144093450892659E-2</v>
      </c>
      <c r="H86" s="2">
        <f t="shared" si="4"/>
        <v>253.12599792480418</v>
      </c>
      <c r="I86" s="4">
        <f t="shared" si="5"/>
        <v>3.0257432496089138</v>
      </c>
      <c r="J86">
        <v>248.58999633789</v>
      </c>
      <c r="K86">
        <v>28333900</v>
      </c>
    </row>
    <row r="87" spans="1:11" x14ac:dyDescent="0.3">
      <c r="A87" t="s">
        <v>9</v>
      </c>
      <c r="B87" s="1">
        <v>44998</v>
      </c>
      <c r="C87">
        <v>247.39999389648401</v>
      </c>
      <c r="D87">
        <v>257.91000366210898</v>
      </c>
      <c r="E87">
        <v>245.72999572753901</v>
      </c>
      <c r="F87">
        <v>253.919998168945</v>
      </c>
      <c r="G87" s="2">
        <f t="shared" si="3"/>
        <v>2.7055806653736188E-2</v>
      </c>
      <c r="H87" s="2">
        <f t="shared" si="4"/>
        <v>252.53599853515578</v>
      </c>
      <c r="I87" s="4">
        <f t="shared" si="5"/>
        <v>2.3180225334546289</v>
      </c>
      <c r="J87">
        <v>253.919998168945</v>
      </c>
      <c r="K87">
        <v>33339700</v>
      </c>
    </row>
    <row r="88" spans="1:11" x14ac:dyDescent="0.3">
      <c r="A88" t="s">
        <v>9</v>
      </c>
      <c r="B88" s="1">
        <v>44999</v>
      </c>
      <c r="C88">
        <v>256.75</v>
      </c>
      <c r="D88">
        <v>261.07000732421801</v>
      </c>
      <c r="E88">
        <v>255.86000061035099</v>
      </c>
      <c r="F88">
        <v>260.79000854492102</v>
      </c>
      <c r="G88" s="2">
        <f t="shared" si="3"/>
        <v>1.7830414295507951E-2</v>
      </c>
      <c r="H88" s="2">
        <f t="shared" si="4"/>
        <v>253.8640014648432</v>
      </c>
      <c r="I88" s="4">
        <f t="shared" si="5"/>
        <v>4.4215001744610829</v>
      </c>
      <c r="J88">
        <v>260.79000854492102</v>
      </c>
      <c r="K88">
        <v>33620300</v>
      </c>
    </row>
    <row r="89" spans="1:11" x14ac:dyDescent="0.3">
      <c r="A89" t="s">
        <v>9</v>
      </c>
      <c r="B89" s="1">
        <v>45000</v>
      </c>
      <c r="C89">
        <v>259.98001098632801</v>
      </c>
      <c r="D89">
        <v>266.48001098632801</v>
      </c>
      <c r="E89">
        <v>259.20999145507801</v>
      </c>
      <c r="F89">
        <v>265.44000244140602</v>
      </c>
      <c r="G89" s="2">
        <f t="shared" si="3"/>
        <v>4.0536504169149092E-2</v>
      </c>
      <c r="H89" s="2">
        <f t="shared" si="4"/>
        <v>256.21200256347601</v>
      </c>
      <c r="I89" s="4">
        <f t="shared" si="5"/>
        <v>6.7935633231583799</v>
      </c>
      <c r="J89">
        <v>265.44000244140602</v>
      </c>
      <c r="K89">
        <v>46028000</v>
      </c>
    </row>
    <row r="90" spans="1:11" x14ac:dyDescent="0.3">
      <c r="A90" t="s">
        <v>9</v>
      </c>
      <c r="B90" s="1">
        <v>45001</v>
      </c>
      <c r="C90">
        <v>265.20999145507801</v>
      </c>
      <c r="D90">
        <v>276.55999755859301</v>
      </c>
      <c r="E90">
        <v>263.27999877929602</v>
      </c>
      <c r="F90">
        <v>276.20001220703102</v>
      </c>
      <c r="G90" s="2">
        <f t="shared" si="3"/>
        <v>1.1694353099191415E-2</v>
      </c>
      <c r="H90" s="2">
        <f t="shared" si="4"/>
        <v>260.98800354003862</v>
      </c>
      <c r="I90" s="4">
        <f t="shared" si="5"/>
        <v>10.664567342734275</v>
      </c>
      <c r="J90">
        <v>276.20001220703102</v>
      </c>
      <c r="K90">
        <v>54768800</v>
      </c>
    </row>
    <row r="91" spans="1:11" x14ac:dyDescent="0.3">
      <c r="A91" t="s">
        <v>9</v>
      </c>
      <c r="B91" s="1">
        <v>45002</v>
      </c>
      <c r="C91">
        <v>278.260009765625</v>
      </c>
      <c r="D91">
        <v>283.329986572265</v>
      </c>
      <c r="E91">
        <v>276.32000732421801</v>
      </c>
      <c r="F91">
        <v>279.42999267578102</v>
      </c>
      <c r="G91" s="2">
        <f t="shared" si="3"/>
        <v>-2.5766674581017709E-2</v>
      </c>
      <c r="H91" s="2">
        <f t="shared" si="4"/>
        <v>267.1560028076168</v>
      </c>
      <c r="I91" s="4">
        <f t="shared" si="5"/>
        <v>10.619643265017702</v>
      </c>
      <c r="J91">
        <v>279.42999267578102</v>
      </c>
      <c r="K91">
        <v>69527400</v>
      </c>
    </row>
    <row r="92" spans="1:11" x14ac:dyDescent="0.3">
      <c r="A92" t="s">
        <v>9</v>
      </c>
      <c r="B92" s="1">
        <v>45005</v>
      </c>
      <c r="C92">
        <v>276.98001098632801</v>
      </c>
      <c r="D92">
        <v>277.48001098632801</v>
      </c>
      <c r="E92">
        <v>269.850006103515</v>
      </c>
      <c r="F92">
        <v>272.23001098632801</v>
      </c>
      <c r="G92" s="2">
        <f t="shared" si="3"/>
        <v>5.6936698027972195E-3</v>
      </c>
      <c r="H92" s="2">
        <f t="shared" si="4"/>
        <v>270.81800537109336</v>
      </c>
      <c r="I92" s="4">
        <f t="shared" si="5"/>
        <v>7.6584874262657676</v>
      </c>
      <c r="J92">
        <v>272.23001098632801</v>
      </c>
      <c r="K92">
        <v>43466600</v>
      </c>
    </row>
    <row r="93" spans="1:11" x14ac:dyDescent="0.3">
      <c r="A93" t="s">
        <v>9</v>
      </c>
      <c r="B93" s="1">
        <v>45006</v>
      </c>
      <c r="C93">
        <v>274.88000488281199</v>
      </c>
      <c r="D93">
        <v>275</v>
      </c>
      <c r="E93">
        <v>269.51998901367102</v>
      </c>
      <c r="F93">
        <v>273.77999877929602</v>
      </c>
      <c r="G93" s="2">
        <f t="shared" si="3"/>
        <v>-5.442290309805046E-3</v>
      </c>
      <c r="H93" s="2">
        <f t="shared" si="4"/>
        <v>273.4160034179684</v>
      </c>
      <c r="I93" s="4">
        <f t="shared" si="5"/>
        <v>5.221935320830867</v>
      </c>
      <c r="J93">
        <v>273.77999877929602</v>
      </c>
      <c r="K93">
        <v>34558700</v>
      </c>
    </row>
    <row r="94" spans="1:11" x14ac:dyDescent="0.3">
      <c r="A94" t="s">
        <v>9</v>
      </c>
      <c r="B94" s="1">
        <v>45007</v>
      </c>
      <c r="C94">
        <v>273.39999389648398</v>
      </c>
      <c r="D94">
        <v>281.04000854492102</v>
      </c>
      <c r="E94">
        <v>272.17999267578102</v>
      </c>
      <c r="F94">
        <v>272.29000854492102</v>
      </c>
      <c r="G94" s="2">
        <f t="shared" si="3"/>
        <v>1.9721601779971447E-2</v>
      </c>
      <c r="H94" s="2">
        <f t="shared" si="4"/>
        <v>274.78600463867144</v>
      </c>
      <c r="I94" s="4">
        <f t="shared" si="5"/>
        <v>3.0553719140282256</v>
      </c>
      <c r="J94">
        <v>272.29000854492102</v>
      </c>
      <c r="K94">
        <v>34873300</v>
      </c>
    </row>
    <row r="95" spans="1:11" x14ac:dyDescent="0.3">
      <c r="A95" t="s">
        <v>9</v>
      </c>
      <c r="B95" s="1">
        <v>45008</v>
      </c>
      <c r="C95">
        <v>277.94000244140602</v>
      </c>
      <c r="D95">
        <v>281.05999755859301</v>
      </c>
      <c r="E95">
        <v>275.20001220703102</v>
      </c>
      <c r="F95">
        <v>277.66000366210898</v>
      </c>
      <c r="G95" s="2">
        <f t="shared" si="3"/>
        <v>1.0480456759088307E-2</v>
      </c>
      <c r="H95" s="2">
        <f t="shared" si="4"/>
        <v>275.07800292968699</v>
      </c>
      <c r="I95" s="4">
        <f t="shared" si="5"/>
        <v>3.28539678371166</v>
      </c>
      <c r="J95">
        <v>277.66000366210898</v>
      </c>
      <c r="K95">
        <v>36610900</v>
      </c>
    </row>
    <row r="96" spans="1:11" x14ac:dyDescent="0.3">
      <c r="A96" t="s">
        <v>9</v>
      </c>
      <c r="B96" s="1">
        <v>45009</v>
      </c>
      <c r="C96">
        <v>277.239990234375</v>
      </c>
      <c r="D96">
        <v>280.63000488281199</v>
      </c>
      <c r="E96">
        <v>275.27999877929602</v>
      </c>
      <c r="F96">
        <v>280.57000732421801</v>
      </c>
      <c r="G96" s="2">
        <f t="shared" si="3"/>
        <v>-1.493389290382769E-2</v>
      </c>
      <c r="H96" s="2">
        <f t="shared" si="4"/>
        <v>275.30600585937441</v>
      </c>
      <c r="I96" s="4">
        <f t="shared" si="5"/>
        <v>3.6789162448132022</v>
      </c>
      <c r="J96">
        <v>280.57000732421801</v>
      </c>
      <c r="K96">
        <v>28172000</v>
      </c>
    </row>
    <row r="97" spans="1:11" x14ac:dyDescent="0.3">
      <c r="A97" t="s">
        <v>9</v>
      </c>
      <c r="B97" s="1">
        <v>45012</v>
      </c>
      <c r="C97">
        <v>280.5</v>
      </c>
      <c r="D97">
        <v>281.45999145507801</v>
      </c>
      <c r="E97">
        <v>275.51998901367102</v>
      </c>
      <c r="F97">
        <v>276.38000488281199</v>
      </c>
      <c r="G97" s="2">
        <f t="shared" si="3"/>
        <v>-4.1609156819126135E-3</v>
      </c>
      <c r="H97" s="2">
        <f t="shared" si="4"/>
        <v>276.13600463867124</v>
      </c>
      <c r="I97" s="4">
        <f t="shared" si="5"/>
        <v>3.2551858057785346</v>
      </c>
      <c r="J97">
        <v>276.38000488281199</v>
      </c>
      <c r="K97">
        <v>26840200</v>
      </c>
    </row>
    <row r="98" spans="1:11" x14ac:dyDescent="0.3">
      <c r="A98" t="s">
        <v>9</v>
      </c>
      <c r="B98" s="1">
        <v>45013</v>
      </c>
      <c r="C98">
        <v>275.79000854492102</v>
      </c>
      <c r="D98">
        <v>276.14001464843699</v>
      </c>
      <c r="E98">
        <v>272.04998779296801</v>
      </c>
      <c r="F98">
        <v>275.23001098632801</v>
      </c>
      <c r="G98" s="2">
        <f t="shared" si="3"/>
        <v>1.9183950036463396E-2</v>
      </c>
      <c r="H98" s="2">
        <f t="shared" si="4"/>
        <v>276.42600708007757</v>
      </c>
      <c r="I98" s="4">
        <f t="shared" si="5"/>
        <v>3.0510036188578913</v>
      </c>
      <c r="J98">
        <v>275.23001098632801</v>
      </c>
      <c r="K98">
        <v>21878600</v>
      </c>
    </row>
    <row r="99" spans="1:11" x14ac:dyDescent="0.3">
      <c r="A99" t="s">
        <v>9</v>
      </c>
      <c r="B99" s="1">
        <v>45014</v>
      </c>
      <c r="C99">
        <v>278.95999145507801</v>
      </c>
      <c r="D99">
        <v>281.14001464843699</v>
      </c>
      <c r="E99">
        <v>278.41000366210898</v>
      </c>
      <c r="F99">
        <v>280.510009765625</v>
      </c>
      <c r="G99" s="2">
        <f t="shared" si="3"/>
        <v>1.2619792178898625E-2</v>
      </c>
      <c r="H99" s="2">
        <f t="shared" si="4"/>
        <v>278.07000732421841</v>
      </c>
      <c r="I99" s="4">
        <f t="shared" si="5"/>
        <v>2.4131619489894276</v>
      </c>
      <c r="J99">
        <v>280.510009765625</v>
      </c>
      <c r="K99">
        <v>25087000</v>
      </c>
    </row>
    <row r="100" spans="1:11" x14ac:dyDescent="0.3">
      <c r="A100" t="s">
        <v>9</v>
      </c>
      <c r="B100" s="1">
        <v>45015</v>
      </c>
      <c r="C100">
        <v>284.23001098632801</v>
      </c>
      <c r="D100">
        <v>284.45999145507801</v>
      </c>
      <c r="E100">
        <v>281.48001098632801</v>
      </c>
      <c r="F100">
        <v>284.04998779296801</v>
      </c>
      <c r="G100" s="2">
        <f t="shared" si="3"/>
        <v>1.4962155193252974E-2</v>
      </c>
      <c r="H100" s="2">
        <f t="shared" si="4"/>
        <v>279.34800415039024</v>
      </c>
      <c r="I100" s="4">
        <f t="shared" si="5"/>
        <v>3.5608666899141093</v>
      </c>
      <c r="J100">
        <v>284.04998779296801</v>
      </c>
      <c r="K100">
        <v>25053400</v>
      </c>
    </row>
    <row r="101" spans="1:11" x14ac:dyDescent="0.3">
      <c r="A101" t="s">
        <v>9</v>
      </c>
      <c r="B101" s="1">
        <v>45016</v>
      </c>
      <c r="C101">
        <v>283.73001098632801</v>
      </c>
      <c r="D101">
        <v>289.26998901367102</v>
      </c>
      <c r="E101">
        <v>283</v>
      </c>
      <c r="F101">
        <v>288.29998779296801</v>
      </c>
      <c r="G101" s="2">
        <f t="shared" si="3"/>
        <v>-3.7113314323424947E-3</v>
      </c>
      <c r="H101" s="2">
        <f t="shared" si="4"/>
        <v>280.89400024414022</v>
      </c>
      <c r="I101" s="4">
        <f t="shared" si="5"/>
        <v>5.4178705711756248</v>
      </c>
      <c r="J101">
        <v>288.29998779296801</v>
      </c>
      <c r="K101">
        <v>32766000</v>
      </c>
    </row>
    <row r="102" spans="1:11" x14ac:dyDescent="0.3">
      <c r="A102" t="s">
        <v>9</v>
      </c>
      <c r="B102" s="1">
        <v>45019</v>
      </c>
      <c r="C102">
        <v>286.51998901367102</v>
      </c>
      <c r="D102">
        <v>288.26998901367102</v>
      </c>
      <c r="E102">
        <v>283.95001220703102</v>
      </c>
      <c r="F102">
        <v>287.23001098632801</v>
      </c>
      <c r="G102" s="2">
        <f t="shared" si="3"/>
        <v>-1.7414026610669707E-4</v>
      </c>
      <c r="H102" s="2">
        <f t="shared" si="4"/>
        <v>283.06400146484339</v>
      </c>
      <c r="I102" s="4">
        <f t="shared" si="5"/>
        <v>5.3300477863196312</v>
      </c>
      <c r="J102">
        <v>287.23001098632801</v>
      </c>
      <c r="K102">
        <v>24883300</v>
      </c>
    </row>
    <row r="103" spans="1:11" x14ac:dyDescent="0.3">
      <c r="A103" t="s">
        <v>9</v>
      </c>
      <c r="B103" s="1">
        <v>45020</v>
      </c>
      <c r="C103">
        <v>287.23001098632801</v>
      </c>
      <c r="D103">
        <v>290.45001220703102</v>
      </c>
      <c r="E103">
        <v>285.67001342773398</v>
      </c>
      <c r="F103">
        <v>287.17999267578102</v>
      </c>
      <c r="G103" s="2">
        <f t="shared" si="3"/>
        <v>-9.8892555551295218E-3</v>
      </c>
      <c r="H103" s="2">
        <f t="shared" si="4"/>
        <v>285.45399780273408</v>
      </c>
      <c r="I103" s="4">
        <f t="shared" si="5"/>
        <v>3.1877579100833757</v>
      </c>
      <c r="J103">
        <v>287.17999267578102</v>
      </c>
      <c r="K103">
        <v>25824300</v>
      </c>
    </row>
    <row r="104" spans="1:11" x14ac:dyDescent="0.3">
      <c r="A104" t="s">
        <v>9</v>
      </c>
      <c r="B104" s="1">
        <v>45021</v>
      </c>
      <c r="C104">
        <v>285.850006103515</v>
      </c>
      <c r="D104">
        <v>287.14999389648398</v>
      </c>
      <c r="E104">
        <v>282.92001342773398</v>
      </c>
      <c r="F104">
        <v>284.33999633789</v>
      </c>
      <c r="G104" s="2">
        <f t="shared" si="3"/>
        <v>2.5532847503443399E-2</v>
      </c>
      <c r="H104" s="2">
        <f t="shared" si="4"/>
        <v>286.21999511718701</v>
      </c>
      <c r="I104" s="4">
        <f t="shared" si="5"/>
        <v>1.9046931575091088</v>
      </c>
      <c r="J104">
        <v>284.33999633789</v>
      </c>
      <c r="K104">
        <v>22064800</v>
      </c>
    </row>
    <row r="105" spans="1:11" x14ac:dyDescent="0.3">
      <c r="A105" t="s">
        <v>9</v>
      </c>
      <c r="B105" s="1">
        <v>45022</v>
      </c>
      <c r="C105">
        <v>283.20999145507801</v>
      </c>
      <c r="D105">
        <v>292.079986572265</v>
      </c>
      <c r="E105">
        <v>282.02999877929602</v>
      </c>
      <c r="F105">
        <v>291.600006103515</v>
      </c>
      <c r="G105" s="2">
        <f t="shared" si="3"/>
        <v>-7.5788457092606752E-3</v>
      </c>
      <c r="H105" s="2">
        <f t="shared" si="4"/>
        <v>287.72999877929635</v>
      </c>
      <c r="I105" s="4">
        <f t="shared" si="5"/>
        <v>2.6146919142116372</v>
      </c>
      <c r="J105">
        <v>291.600006103515</v>
      </c>
      <c r="K105">
        <v>29770300</v>
      </c>
    </row>
    <row r="106" spans="1:11" x14ac:dyDescent="0.3">
      <c r="A106" t="s">
        <v>9</v>
      </c>
      <c r="B106" s="1">
        <v>45026</v>
      </c>
      <c r="C106">
        <v>289.20999145507801</v>
      </c>
      <c r="D106">
        <v>289.600006103515</v>
      </c>
      <c r="E106">
        <v>284.70999145507801</v>
      </c>
      <c r="F106">
        <v>289.39001464843699</v>
      </c>
      <c r="G106" s="2">
        <f t="shared" si="3"/>
        <v>-2.2668467272934013E-2</v>
      </c>
      <c r="H106" s="2">
        <f t="shared" si="4"/>
        <v>287.9480041503902</v>
      </c>
      <c r="I106" s="4">
        <f t="shared" si="5"/>
        <v>2.7175167306724339</v>
      </c>
      <c r="J106">
        <v>289.39001464843699</v>
      </c>
      <c r="K106">
        <v>23103000</v>
      </c>
    </row>
    <row r="107" spans="1:11" x14ac:dyDescent="0.3">
      <c r="A107" t="s">
        <v>9</v>
      </c>
      <c r="B107" s="1">
        <v>45027</v>
      </c>
      <c r="C107">
        <v>285.75</v>
      </c>
      <c r="D107">
        <v>285.98001098632801</v>
      </c>
      <c r="E107">
        <v>281.64001464843699</v>
      </c>
      <c r="F107">
        <v>282.829986572265</v>
      </c>
      <c r="G107" s="2">
        <f t="shared" si="3"/>
        <v>2.3335703194306266E-3</v>
      </c>
      <c r="H107" s="2">
        <f t="shared" si="4"/>
        <v>287.06799926757759</v>
      </c>
      <c r="I107" s="4">
        <f t="shared" si="5"/>
        <v>3.5828108903285285</v>
      </c>
      <c r="J107">
        <v>282.829986572265</v>
      </c>
      <c r="K107">
        <v>27276600</v>
      </c>
    </row>
    <row r="108" spans="1:11" x14ac:dyDescent="0.3">
      <c r="A108" t="s">
        <v>9</v>
      </c>
      <c r="B108" s="1">
        <v>45028</v>
      </c>
      <c r="C108">
        <v>284.79000854492102</v>
      </c>
      <c r="D108">
        <v>287.010009765625</v>
      </c>
      <c r="E108">
        <v>281.95999145507801</v>
      </c>
      <c r="F108">
        <v>283.489990234375</v>
      </c>
      <c r="G108" s="2">
        <f t="shared" si="3"/>
        <v>2.2399401468338052E-2</v>
      </c>
      <c r="H108" s="2">
        <f t="shared" si="4"/>
        <v>286.32999877929637</v>
      </c>
      <c r="I108" s="4">
        <f t="shared" si="5"/>
        <v>3.918306969154814</v>
      </c>
      <c r="J108">
        <v>283.489990234375</v>
      </c>
      <c r="K108">
        <v>27403400</v>
      </c>
    </row>
    <row r="109" spans="1:11" x14ac:dyDescent="0.3">
      <c r="A109" t="s">
        <v>9</v>
      </c>
      <c r="B109" s="1">
        <v>45029</v>
      </c>
      <c r="C109">
        <v>283.58999633789</v>
      </c>
      <c r="D109">
        <v>289.89999389648398</v>
      </c>
      <c r="E109">
        <v>283.17001342773398</v>
      </c>
      <c r="F109">
        <v>289.83999633789</v>
      </c>
      <c r="G109" s="2">
        <f t="shared" si="3"/>
        <v>-1.2765600801138716E-2</v>
      </c>
      <c r="H109" s="2">
        <f t="shared" si="4"/>
        <v>287.4299987792964</v>
      </c>
      <c r="I109" s="4">
        <f t="shared" si="5"/>
        <v>3.991318427620075</v>
      </c>
      <c r="J109">
        <v>289.83999633789</v>
      </c>
      <c r="K109">
        <v>24222700</v>
      </c>
    </row>
    <row r="110" spans="1:11" x14ac:dyDescent="0.3">
      <c r="A110" t="s">
        <v>9</v>
      </c>
      <c r="B110" s="1">
        <v>45030</v>
      </c>
      <c r="C110">
        <v>287</v>
      </c>
      <c r="D110">
        <v>288.48001098632801</v>
      </c>
      <c r="E110">
        <v>283.69000244140602</v>
      </c>
      <c r="F110">
        <v>286.14001464843699</v>
      </c>
      <c r="G110" s="2">
        <f t="shared" si="3"/>
        <v>9.2960544081860472E-3</v>
      </c>
      <c r="H110" s="2">
        <f t="shared" si="4"/>
        <v>286.33800048828078</v>
      </c>
      <c r="I110" s="4">
        <f t="shared" si="5"/>
        <v>3.2417313197798214</v>
      </c>
      <c r="J110">
        <v>286.14001464843699</v>
      </c>
      <c r="K110">
        <v>20987900</v>
      </c>
    </row>
    <row r="111" spans="1:11" x14ac:dyDescent="0.3">
      <c r="A111" t="s">
        <v>9</v>
      </c>
      <c r="B111" s="1">
        <v>45033</v>
      </c>
      <c r="C111">
        <v>289.92999267578102</v>
      </c>
      <c r="D111">
        <v>291.600006103515</v>
      </c>
      <c r="E111">
        <v>286.16000366210898</v>
      </c>
      <c r="F111">
        <v>288.79998779296801</v>
      </c>
      <c r="G111" s="2">
        <f t="shared" si="3"/>
        <v>-1.4888943696537529E-3</v>
      </c>
      <c r="H111" s="2">
        <f t="shared" si="4"/>
        <v>286.21999511718701</v>
      </c>
      <c r="I111" s="4">
        <f t="shared" si="5"/>
        <v>3.1109585546571448</v>
      </c>
      <c r="J111">
        <v>288.79998779296801</v>
      </c>
      <c r="K111">
        <v>23836200</v>
      </c>
    </row>
    <row r="112" spans="1:11" x14ac:dyDescent="0.3">
      <c r="A112" t="s">
        <v>9</v>
      </c>
      <c r="B112" s="1">
        <v>45034</v>
      </c>
      <c r="C112">
        <v>291.57000732421801</v>
      </c>
      <c r="D112">
        <v>291.760009765625</v>
      </c>
      <c r="E112">
        <v>287.010009765625</v>
      </c>
      <c r="F112">
        <v>288.36999511718699</v>
      </c>
      <c r="G112" s="2">
        <f t="shared" si="3"/>
        <v>2.7748063667829622E-4</v>
      </c>
      <c r="H112" s="2">
        <f t="shared" si="4"/>
        <v>287.32799682617144</v>
      </c>
      <c r="I112" s="4">
        <f t="shared" si="5"/>
        <v>2.5349682268705029</v>
      </c>
      <c r="J112">
        <v>288.36999511718699</v>
      </c>
      <c r="K112">
        <v>20161800</v>
      </c>
    </row>
    <row r="113" spans="1:11" x14ac:dyDescent="0.3">
      <c r="A113" t="s">
        <v>9</v>
      </c>
      <c r="B113" s="1">
        <v>45035</v>
      </c>
      <c r="C113">
        <v>285.989990234375</v>
      </c>
      <c r="D113">
        <v>289.04998779296801</v>
      </c>
      <c r="E113">
        <v>284.54000854492102</v>
      </c>
      <c r="F113">
        <v>288.45001220703102</v>
      </c>
      <c r="G113" s="2">
        <f t="shared" si="3"/>
        <v>-8.1124172523505123E-3</v>
      </c>
      <c r="H113" s="2">
        <f t="shared" si="4"/>
        <v>288.32000122070264</v>
      </c>
      <c r="I113" s="4">
        <f t="shared" si="5"/>
        <v>1.3520832044791833</v>
      </c>
      <c r="J113">
        <v>288.45001220703102</v>
      </c>
      <c r="K113">
        <v>17150300</v>
      </c>
    </row>
    <row r="114" spans="1:11" x14ac:dyDescent="0.3">
      <c r="A114" t="s">
        <v>9</v>
      </c>
      <c r="B114" s="1">
        <v>45036</v>
      </c>
      <c r="C114">
        <v>285.25</v>
      </c>
      <c r="D114">
        <v>289.02999877929602</v>
      </c>
      <c r="E114">
        <v>285.079986572265</v>
      </c>
      <c r="F114">
        <v>286.10998535156199</v>
      </c>
      <c r="G114" s="2">
        <f t="shared" si="3"/>
        <v>-1.2232204531657663E-3</v>
      </c>
      <c r="H114" s="2">
        <f t="shared" si="4"/>
        <v>287.57399902343701</v>
      </c>
      <c r="I114" s="4">
        <f t="shared" si="5"/>
        <v>1.3326387883906377</v>
      </c>
      <c r="J114">
        <v>286.10998535156199</v>
      </c>
      <c r="K114">
        <v>23244400</v>
      </c>
    </row>
    <row r="115" spans="1:11" x14ac:dyDescent="0.3">
      <c r="A115" t="s">
        <v>9</v>
      </c>
      <c r="B115" s="1">
        <v>45037</v>
      </c>
      <c r="C115">
        <v>285.010009765625</v>
      </c>
      <c r="D115">
        <v>286.26998901367102</v>
      </c>
      <c r="E115">
        <v>283.05999755859301</v>
      </c>
      <c r="F115">
        <v>285.760009765625</v>
      </c>
      <c r="G115" s="2">
        <f t="shared" si="3"/>
        <v>-1.3962838100497399E-2</v>
      </c>
      <c r="H115" s="2">
        <f t="shared" si="4"/>
        <v>287.49799804687461</v>
      </c>
      <c r="I115" s="4">
        <f t="shared" si="5"/>
        <v>1.4412728453362007</v>
      </c>
      <c r="J115">
        <v>285.760009765625</v>
      </c>
      <c r="K115">
        <v>21676400</v>
      </c>
    </row>
    <row r="116" spans="1:11" x14ac:dyDescent="0.3">
      <c r="A116" t="s">
        <v>9</v>
      </c>
      <c r="B116" s="1">
        <v>45040</v>
      </c>
      <c r="C116">
        <v>282.08999633789</v>
      </c>
      <c r="D116">
        <v>284.95001220703102</v>
      </c>
      <c r="E116">
        <v>278.72000122070301</v>
      </c>
      <c r="F116">
        <v>281.76998901367102</v>
      </c>
      <c r="G116" s="2">
        <f t="shared" si="3"/>
        <v>-2.2536025245857374E-2</v>
      </c>
      <c r="H116" s="2">
        <f t="shared" si="4"/>
        <v>286.09199829101522</v>
      </c>
      <c r="I116" s="4">
        <f t="shared" si="5"/>
        <v>2.7175265995459932</v>
      </c>
      <c r="J116">
        <v>281.76998901367102</v>
      </c>
      <c r="K116">
        <v>26611000</v>
      </c>
    </row>
    <row r="117" spans="1:11" x14ac:dyDescent="0.3">
      <c r="A117" t="s">
        <v>9</v>
      </c>
      <c r="B117" s="1">
        <v>45041</v>
      </c>
      <c r="C117">
        <v>279.510009765625</v>
      </c>
      <c r="D117">
        <v>281.600006103515</v>
      </c>
      <c r="E117">
        <v>275.36999511718699</v>
      </c>
      <c r="F117">
        <v>275.42001342773398</v>
      </c>
      <c r="G117" s="2">
        <f t="shared" si="3"/>
        <v>7.2434756796232541E-2</v>
      </c>
      <c r="H117" s="2">
        <f t="shared" si="4"/>
        <v>283.50200195312459</v>
      </c>
      <c r="I117" s="4">
        <f t="shared" si="5"/>
        <v>5.1161848458490358</v>
      </c>
      <c r="J117">
        <v>275.42001342773398</v>
      </c>
      <c r="K117">
        <v>45772200</v>
      </c>
    </row>
    <row r="118" spans="1:11" x14ac:dyDescent="0.3">
      <c r="A118" t="s">
        <v>9</v>
      </c>
      <c r="B118" s="1">
        <v>45042</v>
      </c>
      <c r="C118">
        <v>296.70001220703102</v>
      </c>
      <c r="D118">
        <v>299.57000732421801</v>
      </c>
      <c r="E118">
        <v>292.73001098632801</v>
      </c>
      <c r="F118">
        <v>295.36999511718699</v>
      </c>
      <c r="G118" s="2">
        <f t="shared" si="3"/>
        <v>3.2027597966830697E-2</v>
      </c>
      <c r="H118" s="2">
        <f t="shared" si="4"/>
        <v>284.88599853515581</v>
      </c>
      <c r="I118" s="4">
        <f t="shared" si="5"/>
        <v>7.2713584198841348</v>
      </c>
      <c r="J118">
        <v>295.36999511718699</v>
      </c>
      <c r="K118">
        <v>64599200</v>
      </c>
    </row>
    <row r="119" spans="1:11" x14ac:dyDescent="0.3">
      <c r="A119" t="s">
        <v>9</v>
      </c>
      <c r="B119" s="1">
        <v>45043</v>
      </c>
      <c r="C119">
        <v>295.97000122070301</v>
      </c>
      <c r="D119">
        <v>305.20001220703102</v>
      </c>
      <c r="E119">
        <v>295.25</v>
      </c>
      <c r="F119">
        <v>304.829986572265</v>
      </c>
      <c r="G119" s="2">
        <f t="shared" si="3"/>
        <v>7.9717327704042096E-3</v>
      </c>
      <c r="H119" s="2">
        <f t="shared" si="4"/>
        <v>288.62999877929639</v>
      </c>
      <c r="I119" s="4">
        <f t="shared" si="5"/>
        <v>11.593828520366708</v>
      </c>
      <c r="J119">
        <v>304.829986572265</v>
      </c>
      <c r="K119">
        <v>46462600</v>
      </c>
    </row>
    <row r="120" spans="1:11" x14ac:dyDescent="0.3">
      <c r="A120" t="s">
        <v>9</v>
      </c>
      <c r="B120" s="1">
        <v>45044</v>
      </c>
      <c r="C120">
        <v>304.010009765625</v>
      </c>
      <c r="D120">
        <v>308.92999267578102</v>
      </c>
      <c r="E120">
        <v>303.30999755859301</v>
      </c>
      <c r="F120">
        <v>307.260009765625</v>
      </c>
      <c r="G120" s="2">
        <f t="shared" si="3"/>
        <v>-5.5328130996570041E-3</v>
      </c>
      <c r="H120" s="2">
        <f t="shared" si="4"/>
        <v>292.9299987792964</v>
      </c>
      <c r="I120" s="4">
        <f t="shared" si="5"/>
        <v>14.000517056976896</v>
      </c>
      <c r="J120">
        <v>307.260009765625</v>
      </c>
      <c r="K120">
        <v>36446700</v>
      </c>
    </row>
    <row r="121" spans="1:11" x14ac:dyDescent="0.3">
      <c r="A121" t="s">
        <v>9</v>
      </c>
      <c r="B121" s="1">
        <v>45047</v>
      </c>
      <c r="C121">
        <v>306.97000122070301</v>
      </c>
      <c r="D121">
        <v>308.600006103515</v>
      </c>
      <c r="E121">
        <v>305.14999389648398</v>
      </c>
      <c r="F121">
        <v>305.55999755859301</v>
      </c>
      <c r="G121" s="2">
        <f t="shared" si="3"/>
        <v>-4.9088197958658414E-4</v>
      </c>
      <c r="H121" s="2">
        <f t="shared" si="4"/>
        <v>297.68800048828081</v>
      </c>
      <c r="I121" s="4">
        <f t="shared" si="5"/>
        <v>13.283787687755815</v>
      </c>
      <c r="J121">
        <v>305.55999755859301</v>
      </c>
      <c r="K121">
        <v>21294100</v>
      </c>
    </row>
    <row r="122" spans="1:11" x14ac:dyDescent="0.3">
      <c r="A122" t="s">
        <v>9</v>
      </c>
      <c r="B122" s="1">
        <v>45048</v>
      </c>
      <c r="C122">
        <v>307.760009765625</v>
      </c>
      <c r="D122">
        <v>309.17999267578102</v>
      </c>
      <c r="E122">
        <v>303.91000366210898</v>
      </c>
      <c r="F122">
        <v>305.41000366210898</v>
      </c>
      <c r="G122" s="2">
        <f t="shared" si="3"/>
        <v>-3.3070618300454443E-3</v>
      </c>
      <c r="H122" s="2">
        <f t="shared" si="4"/>
        <v>303.68599853515582</v>
      </c>
      <c r="I122" s="4">
        <f t="shared" si="5"/>
        <v>4.7360913148355355</v>
      </c>
      <c r="J122">
        <v>305.41000366210898</v>
      </c>
      <c r="K122">
        <v>26404400</v>
      </c>
    </row>
    <row r="123" spans="1:11" x14ac:dyDescent="0.3">
      <c r="A123" t="s">
        <v>9</v>
      </c>
      <c r="B123" s="1">
        <v>45049</v>
      </c>
      <c r="C123">
        <v>306.61999511718699</v>
      </c>
      <c r="D123">
        <v>308.60998535156199</v>
      </c>
      <c r="E123">
        <v>304.08999633789</v>
      </c>
      <c r="F123">
        <v>304.39999389648398</v>
      </c>
      <c r="G123" s="2">
        <f t="shared" si="3"/>
        <v>3.3180347762045942E-3</v>
      </c>
      <c r="H123" s="2">
        <f t="shared" si="4"/>
        <v>305.49199829101519</v>
      </c>
      <c r="I123" s="4">
        <f t="shared" si="5"/>
        <v>1.0917811945795968</v>
      </c>
      <c r="J123">
        <v>304.39999389648398</v>
      </c>
      <c r="K123">
        <v>22360800</v>
      </c>
    </row>
    <row r="124" spans="1:11" x14ac:dyDescent="0.3">
      <c r="A124" t="s">
        <v>9</v>
      </c>
      <c r="B124" s="1">
        <v>45050</v>
      </c>
      <c r="C124">
        <v>306.239990234375</v>
      </c>
      <c r="D124">
        <v>307.760009765625</v>
      </c>
      <c r="E124">
        <v>303.39999389648398</v>
      </c>
      <c r="F124">
        <v>305.41000366210898</v>
      </c>
      <c r="G124" s="2">
        <f t="shared" si="3"/>
        <v>1.7157231824574661E-2</v>
      </c>
      <c r="H124" s="2">
        <f t="shared" si="4"/>
        <v>305.60800170898398</v>
      </c>
      <c r="I124" s="4">
        <f t="shared" si="5"/>
        <v>1.0330929708713625</v>
      </c>
      <c r="J124">
        <v>305.41000366210898</v>
      </c>
      <c r="K124">
        <v>22519900</v>
      </c>
    </row>
    <row r="125" spans="1:11" x14ac:dyDescent="0.3">
      <c r="A125" t="s">
        <v>9</v>
      </c>
      <c r="B125" s="1">
        <v>45051</v>
      </c>
      <c r="C125">
        <v>305.72000122070301</v>
      </c>
      <c r="D125">
        <v>311.97000122070301</v>
      </c>
      <c r="E125">
        <v>304.26998901367102</v>
      </c>
      <c r="F125">
        <v>310.64999389648398</v>
      </c>
      <c r="G125" s="2">
        <f t="shared" si="3"/>
        <v>0</v>
      </c>
      <c r="H125" s="2">
        <f t="shared" si="4"/>
        <v>306.28599853515573</v>
      </c>
      <c r="I125" s="4">
        <f t="shared" si="5"/>
        <v>2.4831069481581056</v>
      </c>
      <c r="J125">
        <v>310.64999389648398</v>
      </c>
      <c r="K125">
        <v>28181200</v>
      </c>
    </row>
    <row r="126" spans="1:11" x14ac:dyDescent="0.3">
      <c r="A126" t="s">
        <v>10</v>
      </c>
      <c r="B126" s="1">
        <v>44964</v>
      </c>
      <c r="C126">
        <v>358.510009765625</v>
      </c>
      <c r="D126">
        <v>364.17999267578102</v>
      </c>
      <c r="E126">
        <v>354.17999267578102</v>
      </c>
      <c r="F126">
        <v>362.95001220703102</v>
      </c>
      <c r="G126" s="2">
        <f t="shared" si="3"/>
        <v>1.0690106721971382E-2</v>
      </c>
      <c r="H126" s="2" t="str">
        <f t="shared" si="4"/>
        <v/>
      </c>
      <c r="I126" s="4" t="str">
        <f t="shared" si="5"/>
        <v/>
      </c>
      <c r="J126">
        <v>362.95001220703102</v>
      </c>
      <c r="K126">
        <v>6289400</v>
      </c>
    </row>
    <row r="127" spans="1:11" x14ac:dyDescent="0.3">
      <c r="A127" t="s">
        <v>10</v>
      </c>
      <c r="B127" s="1">
        <v>44965</v>
      </c>
      <c r="C127">
        <v>360.01998901367102</v>
      </c>
      <c r="D127">
        <v>368.19000244140602</v>
      </c>
      <c r="E127">
        <v>358.30999755859301</v>
      </c>
      <c r="F127">
        <v>366.829986572265</v>
      </c>
      <c r="G127" s="2">
        <f t="shared" si="3"/>
        <v>-1.1803796665385202E-2</v>
      </c>
      <c r="H127" s="2" t="str">
        <f t="shared" si="4"/>
        <v/>
      </c>
      <c r="I127" s="4" t="str">
        <f t="shared" si="5"/>
        <v/>
      </c>
      <c r="J127">
        <v>366.829986572265</v>
      </c>
      <c r="K127">
        <v>6253200</v>
      </c>
    </row>
    <row r="128" spans="1:11" x14ac:dyDescent="0.3">
      <c r="A128" t="s">
        <v>10</v>
      </c>
      <c r="B128" s="1">
        <v>44966</v>
      </c>
      <c r="C128">
        <v>372.41000366210898</v>
      </c>
      <c r="D128">
        <v>373.829986572265</v>
      </c>
      <c r="E128">
        <v>361.739990234375</v>
      </c>
      <c r="F128">
        <v>362.5</v>
      </c>
      <c r="G128" s="2">
        <f t="shared" si="3"/>
        <v>-4.1765557650863483E-2</v>
      </c>
      <c r="H128" s="2" t="str">
        <f t="shared" si="4"/>
        <v/>
      </c>
      <c r="I128" s="4" t="str">
        <f t="shared" si="5"/>
        <v/>
      </c>
      <c r="J128">
        <v>362.5</v>
      </c>
      <c r="K128">
        <v>6901100</v>
      </c>
    </row>
    <row r="129" spans="1:11" x14ac:dyDescent="0.3">
      <c r="A129" t="s">
        <v>10</v>
      </c>
      <c r="B129" s="1">
        <v>44967</v>
      </c>
      <c r="C129">
        <v>359.16000366210898</v>
      </c>
      <c r="D129">
        <v>362.14001464843699</v>
      </c>
      <c r="E129">
        <v>347.14001464843699</v>
      </c>
      <c r="F129">
        <v>347.35998535156199</v>
      </c>
      <c r="G129" s="2">
        <f t="shared" si="3"/>
        <v>3.2272059089680102E-2</v>
      </c>
      <c r="H129" s="2" t="str">
        <f t="shared" si="4"/>
        <v/>
      </c>
      <c r="I129" s="4" t="str">
        <f t="shared" si="5"/>
        <v/>
      </c>
      <c r="J129">
        <v>347.35998535156199</v>
      </c>
      <c r="K129">
        <v>7291100</v>
      </c>
    </row>
    <row r="130" spans="1:11" x14ac:dyDescent="0.3">
      <c r="A130" t="s">
        <v>10</v>
      </c>
      <c r="B130" s="1">
        <v>44970</v>
      </c>
      <c r="C130">
        <v>349.5</v>
      </c>
      <c r="D130">
        <v>359.70001220703102</v>
      </c>
      <c r="E130">
        <v>344.25</v>
      </c>
      <c r="F130">
        <v>358.57000732421801</v>
      </c>
      <c r="G130" s="2">
        <f t="shared" si="3"/>
        <v>3.8764651322417505E-3</v>
      </c>
      <c r="H130" s="2">
        <f t="shared" si="4"/>
        <v>359.64199829101523</v>
      </c>
      <c r="I130" s="4">
        <f t="shared" si="5"/>
        <v>7.462829755633746</v>
      </c>
      <c r="J130">
        <v>358.57000732421801</v>
      </c>
      <c r="K130">
        <v>7134400</v>
      </c>
    </row>
    <row r="131" spans="1:11" x14ac:dyDescent="0.3">
      <c r="A131" t="s">
        <v>10</v>
      </c>
      <c r="B131" s="1">
        <v>44971</v>
      </c>
      <c r="C131">
        <v>357.54998779296801</v>
      </c>
      <c r="D131">
        <v>363.75</v>
      </c>
      <c r="E131">
        <v>353.39999389648398</v>
      </c>
      <c r="F131">
        <v>359.95999145507801</v>
      </c>
      <c r="G131" s="2">
        <f t="shared" ref="G131:G194" si="6">IF(A132=A131,(F132-F131)/F131,0)</f>
        <v>4.0560673611366397E-3</v>
      </c>
      <c r="H131" s="2">
        <f t="shared" si="4"/>
        <v>359.04399414062465</v>
      </c>
      <c r="I131" s="4">
        <f t="shared" si="5"/>
        <v>7.2481968552651797</v>
      </c>
      <c r="J131">
        <v>359.95999145507801</v>
      </c>
      <c r="K131">
        <v>4624800</v>
      </c>
    </row>
    <row r="132" spans="1:11" x14ac:dyDescent="0.3">
      <c r="A132" t="s">
        <v>10</v>
      </c>
      <c r="B132" s="1">
        <v>44972</v>
      </c>
      <c r="C132">
        <v>356.63000488281199</v>
      </c>
      <c r="D132">
        <v>362.88000488281199</v>
      </c>
      <c r="E132">
        <v>354.239990234375</v>
      </c>
      <c r="F132">
        <v>361.42001342773398</v>
      </c>
      <c r="G132" s="2">
        <f t="shared" si="6"/>
        <v>-2.9633173523185199E-2</v>
      </c>
      <c r="H132" s="2">
        <f t="shared" si="4"/>
        <v>357.96199951171837</v>
      </c>
      <c r="I132" s="4">
        <f t="shared" si="5"/>
        <v>6.1097393199904397</v>
      </c>
      <c r="J132">
        <v>361.42001342773398</v>
      </c>
      <c r="K132">
        <v>3966000</v>
      </c>
    </row>
    <row r="133" spans="1:11" x14ac:dyDescent="0.3">
      <c r="A133" t="s">
        <v>10</v>
      </c>
      <c r="B133" s="1">
        <v>44973</v>
      </c>
      <c r="C133">
        <v>355</v>
      </c>
      <c r="D133">
        <v>361.5</v>
      </c>
      <c r="E133">
        <v>350.30999755859301</v>
      </c>
      <c r="F133">
        <v>350.70999145507801</v>
      </c>
      <c r="G133" s="2">
        <f t="shared" si="6"/>
        <v>-7.8412365401692406E-3</v>
      </c>
      <c r="H133" s="2">
        <f t="shared" si="4"/>
        <v>355.603997802734</v>
      </c>
      <c r="I133" s="4">
        <f t="shared" si="5"/>
        <v>6.1950175616582248</v>
      </c>
      <c r="J133">
        <v>350.70999145507801</v>
      </c>
      <c r="K133">
        <v>5215700</v>
      </c>
    </row>
    <row r="134" spans="1:11" x14ac:dyDescent="0.3">
      <c r="A134" t="s">
        <v>10</v>
      </c>
      <c r="B134" s="1">
        <v>44974</v>
      </c>
      <c r="C134">
        <v>347.91000366210898</v>
      </c>
      <c r="D134">
        <v>349</v>
      </c>
      <c r="E134">
        <v>342.44000244140602</v>
      </c>
      <c r="F134">
        <v>347.95999145507801</v>
      </c>
      <c r="G134" s="2">
        <f t="shared" si="6"/>
        <v>-3.0060902724296127E-2</v>
      </c>
      <c r="H134" s="2">
        <f t="shared" si="4"/>
        <v>355.72399902343722</v>
      </c>
      <c r="I134" s="4">
        <f t="shared" si="5"/>
        <v>5.9980842908400733</v>
      </c>
      <c r="J134">
        <v>347.95999145507801</v>
      </c>
      <c r="K134">
        <v>5294700</v>
      </c>
    </row>
    <row r="135" spans="1:11" x14ac:dyDescent="0.3">
      <c r="A135" t="s">
        <v>10</v>
      </c>
      <c r="B135" s="1">
        <v>44978</v>
      </c>
      <c r="C135">
        <v>342.850006103515</v>
      </c>
      <c r="D135">
        <v>344.13000488281199</v>
      </c>
      <c r="E135">
        <v>336.42001342773398</v>
      </c>
      <c r="F135">
        <v>337.5</v>
      </c>
      <c r="G135" s="2">
        <f t="shared" si="6"/>
        <v>-7.7629484953718863E-3</v>
      </c>
      <c r="H135" s="2">
        <f t="shared" ref="H135:H198" si="7">IF(A135=A131, AVERAGE(F131:F135), "")</f>
        <v>351.50999755859368</v>
      </c>
      <c r="I135" s="4">
        <f t="shared" ref="I135:I198" si="8">IF(A135=A131, STDEV(F131:F135), "")</f>
        <v>9.7356740402205428</v>
      </c>
      <c r="J135">
        <v>337.5</v>
      </c>
      <c r="K135">
        <v>5710300</v>
      </c>
    </row>
    <row r="136" spans="1:11" x14ac:dyDescent="0.3">
      <c r="A136" t="s">
        <v>10</v>
      </c>
      <c r="B136" s="1">
        <v>44979</v>
      </c>
      <c r="C136">
        <v>337.5</v>
      </c>
      <c r="D136">
        <v>341.91000366210898</v>
      </c>
      <c r="E136">
        <v>332.82000732421801</v>
      </c>
      <c r="F136">
        <v>334.88000488281199</v>
      </c>
      <c r="G136" s="2">
        <f t="shared" si="6"/>
        <v>-3.3534432700028913E-2</v>
      </c>
      <c r="H136" s="2">
        <f t="shared" si="7"/>
        <v>346.49400024414047</v>
      </c>
      <c r="I136" s="4">
        <f t="shared" si="8"/>
        <v>10.706149054662632</v>
      </c>
      <c r="J136">
        <v>334.88000488281199</v>
      </c>
      <c r="K136">
        <v>4546200</v>
      </c>
    </row>
    <row r="137" spans="1:11" x14ac:dyDescent="0.3">
      <c r="A137" t="s">
        <v>10</v>
      </c>
      <c r="B137" s="1">
        <v>44980</v>
      </c>
      <c r="C137">
        <v>331.23001098632801</v>
      </c>
      <c r="D137">
        <v>331.27999877929602</v>
      </c>
      <c r="E137">
        <v>314.29998779296801</v>
      </c>
      <c r="F137">
        <v>323.64999389648398</v>
      </c>
      <c r="G137" s="2">
        <f t="shared" si="6"/>
        <v>-2.0083423829999999E-2</v>
      </c>
      <c r="H137" s="2">
        <f t="shared" si="7"/>
        <v>338.93999633789042</v>
      </c>
      <c r="I137" s="4">
        <f t="shared" si="8"/>
        <v>10.86547734454601</v>
      </c>
      <c r="J137">
        <v>323.64999389648398</v>
      </c>
      <c r="K137">
        <v>13238700</v>
      </c>
    </row>
    <row r="138" spans="1:11" x14ac:dyDescent="0.3">
      <c r="A138" t="s">
        <v>10</v>
      </c>
      <c r="B138" s="1">
        <v>44981</v>
      </c>
      <c r="C138">
        <v>319.29998779296801</v>
      </c>
      <c r="D138">
        <v>321.5</v>
      </c>
      <c r="E138">
        <v>314.51998901367102</v>
      </c>
      <c r="F138">
        <v>317.14999389648398</v>
      </c>
      <c r="G138" s="2">
        <f t="shared" si="6"/>
        <v>1.8540138722913695E-2</v>
      </c>
      <c r="H138" s="2">
        <f t="shared" si="7"/>
        <v>332.22799682617153</v>
      </c>
      <c r="I138" s="4">
        <f t="shared" si="8"/>
        <v>12.075296329807815</v>
      </c>
      <c r="J138">
        <v>317.14999389648398</v>
      </c>
      <c r="K138">
        <v>6830700</v>
      </c>
    </row>
    <row r="139" spans="1:11" x14ac:dyDescent="0.3">
      <c r="A139" t="s">
        <v>10</v>
      </c>
      <c r="B139" s="1">
        <v>44984</v>
      </c>
      <c r="C139">
        <v>323.86999511718699</v>
      </c>
      <c r="D139">
        <v>330</v>
      </c>
      <c r="E139">
        <v>322.11999511718699</v>
      </c>
      <c r="F139">
        <v>323.02999877929602</v>
      </c>
      <c r="G139" s="2">
        <f t="shared" si="6"/>
        <v>-2.7861000522708024E-3</v>
      </c>
      <c r="H139" s="2">
        <f t="shared" si="7"/>
        <v>327.24199829101519</v>
      </c>
      <c r="I139" s="4">
        <f t="shared" si="8"/>
        <v>8.6031641259794345</v>
      </c>
      <c r="J139">
        <v>323.02999877929602</v>
      </c>
      <c r="K139">
        <v>6142600</v>
      </c>
    </row>
    <row r="140" spans="1:11" x14ac:dyDescent="0.3">
      <c r="A140" t="s">
        <v>10</v>
      </c>
      <c r="B140" s="1">
        <v>44985</v>
      </c>
      <c r="C140">
        <v>323.70001220703102</v>
      </c>
      <c r="D140">
        <v>327.61999511718699</v>
      </c>
      <c r="E140">
        <v>321.17001342773398</v>
      </c>
      <c r="F140">
        <v>322.13000488281199</v>
      </c>
      <c r="G140" s="2">
        <f t="shared" si="6"/>
        <v>-2.6852493606209601E-2</v>
      </c>
      <c r="H140" s="2">
        <f t="shared" si="7"/>
        <v>324.16799926757756</v>
      </c>
      <c r="I140" s="4">
        <f t="shared" si="8"/>
        <v>6.5137596570194995</v>
      </c>
      <c r="J140">
        <v>322.13000488281199</v>
      </c>
      <c r="K140">
        <v>3676100</v>
      </c>
    </row>
    <row r="141" spans="1:11" x14ac:dyDescent="0.3">
      <c r="A141" t="s">
        <v>10</v>
      </c>
      <c r="B141" s="1">
        <v>44986</v>
      </c>
      <c r="C141">
        <v>321.54998779296801</v>
      </c>
      <c r="D141">
        <v>326.600006103515</v>
      </c>
      <c r="E141">
        <v>312.35998535156199</v>
      </c>
      <c r="F141">
        <v>313.48001098632801</v>
      </c>
      <c r="G141" s="2">
        <f t="shared" si="6"/>
        <v>-5.1040131665230958E-3</v>
      </c>
      <c r="H141" s="2">
        <f t="shared" si="7"/>
        <v>319.8880004882808</v>
      </c>
      <c r="I141" s="4">
        <f t="shared" si="8"/>
        <v>4.4048365725377341</v>
      </c>
      <c r="J141">
        <v>313.48001098632801</v>
      </c>
      <c r="K141">
        <v>4911300</v>
      </c>
    </row>
    <row r="142" spans="1:11" x14ac:dyDescent="0.3">
      <c r="A142" t="s">
        <v>10</v>
      </c>
      <c r="B142" s="1">
        <v>44987</v>
      </c>
      <c r="C142">
        <v>310.95999145507801</v>
      </c>
      <c r="D142">
        <v>315.57000732421801</v>
      </c>
      <c r="E142">
        <v>310.38000488281199</v>
      </c>
      <c r="F142">
        <v>311.88000488281199</v>
      </c>
      <c r="G142" s="2">
        <f t="shared" si="6"/>
        <v>1.0580953383686765E-2</v>
      </c>
      <c r="H142" s="2">
        <f t="shared" si="7"/>
        <v>317.5340026855464</v>
      </c>
      <c r="I142" s="4">
        <f t="shared" si="8"/>
        <v>4.9969793841008485</v>
      </c>
      <c r="J142">
        <v>311.88000488281199</v>
      </c>
      <c r="K142">
        <v>4911000</v>
      </c>
    </row>
    <row r="143" spans="1:11" x14ac:dyDescent="0.3">
      <c r="A143" t="s">
        <v>10</v>
      </c>
      <c r="B143" s="1">
        <v>44988</v>
      </c>
      <c r="C143">
        <v>315.45001220703102</v>
      </c>
      <c r="D143">
        <v>317.489990234375</v>
      </c>
      <c r="E143">
        <v>310.82000732421801</v>
      </c>
      <c r="F143">
        <v>315.17999267578102</v>
      </c>
      <c r="G143" s="2">
        <f t="shared" si="6"/>
        <v>-9.9942698448036715E-3</v>
      </c>
      <c r="H143" s="2">
        <f t="shared" si="7"/>
        <v>317.14000244140578</v>
      </c>
      <c r="I143" s="4">
        <f t="shared" si="8"/>
        <v>5.1111870263814385</v>
      </c>
      <c r="J143">
        <v>315.17999267578102</v>
      </c>
      <c r="K143">
        <v>5953300</v>
      </c>
    </row>
    <row r="144" spans="1:11" x14ac:dyDescent="0.3">
      <c r="A144" t="s">
        <v>10</v>
      </c>
      <c r="B144" s="1">
        <v>44991</v>
      </c>
      <c r="C144">
        <v>317</v>
      </c>
      <c r="D144">
        <v>323.29998779296801</v>
      </c>
      <c r="E144">
        <v>311.83999633789</v>
      </c>
      <c r="F144">
        <v>312.02999877929602</v>
      </c>
      <c r="G144" s="2">
        <f t="shared" si="6"/>
        <v>-1.1409151596065146E-2</v>
      </c>
      <c r="H144" s="2">
        <f t="shared" si="7"/>
        <v>314.9400024414058</v>
      </c>
      <c r="I144" s="4">
        <f t="shared" si="8"/>
        <v>4.2342948598619996</v>
      </c>
      <c r="J144">
        <v>312.02999877929602</v>
      </c>
      <c r="K144">
        <v>5660700</v>
      </c>
    </row>
    <row r="145" spans="1:11" x14ac:dyDescent="0.3">
      <c r="A145" t="s">
        <v>10</v>
      </c>
      <c r="B145" s="1">
        <v>44992</v>
      </c>
      <c r="C145">
        <v>312.67999267578102</v>
      </c>
      <c r="D145">
        <v>314.29998779296801</v>
      </c>
      <c r="E145">
        <v>306.61999511718699</v>
      </c>
      <c r="F145">
        <v>308.47000122070301</v>
      </c>
      <c r="G145" s="2">
        <f t="shared" si="6"/>
        <v>1.0762820731610216E-2</v>
      </c>
      <c r="H145" s="2">
        <f t="shared" si="7"/>
        <v>312.208001708984</v>
      </c>
      <c r="I145" s="4">
        <f t="shared" si="8"/>
        <v>2.4780361437899598</v>
      </c>
      <c r="J145">
        <v>308.47000122070301</v>
      </c>
      <c r="K145">
        <v>4553100</v>
      </c>
    </row>
    <row r="146" spans="1:11" x14ac:dyDescent="0.3">
      <c r="A146" t="s">
        <v>10</v>
      </c>
      <c r="B146" s="1">
        <v>44993</v>
      </c>
      <c r="C146">
        <v>309.29000854492102</v>
      </c>
      <c r="D146">
        <v>311.829986572265</v>
      </c>
      <c r="E146">
        <v>305.75</v>
      </c>
      <c r="F146">
        <v>311.79000854492102</v>
      </c>
      <c r="G146" s="2">
        <f t="shared" si="6"/>
        <v>-4.4934120342751502E-2</v>
      </c>
      <c r="H146" s="2">
        <f t="shared" si="7"/>
        <v>311.87000122070259</v>
      </c>
      <c r="I146" s="4">
        <f t="shared" si="8"/>
        <v>2.374244171988189</v>
      </c>
      <c r="J146">
        <v>311.79000854492102</v>
      </c>
      <c r="K146">
        <v>3479500</v>
      </c>
    </row>
    <row r="147" spans="1:11" x14ac:dyDescent="0.3">
      <c r="A147" t="s">
        <v>10</v>
      </c>
      <c r="B147" s="1">
        <v>44994</v>
      </c>
      <c r="C147">
        <v>312.079986572265</v>
      </c>
      <c r="D147">
        <v>312.510009765625</v>
      </c>
      <c r="E147">
        <v>294.88000488281199</v>
      </c>
      <c r="F147">
        <v>297.77999877929602</v>
      </c>
      <c r="G147" s="2">
        <f t="shared" si="6"/>
        <v>-1.6858046323627196E-2</v>
      </c>
      <c r="H147" s="2">
        <f t="shared" si="7"/>
        <v>309.04999999999939</v>
      </c>
      <c r="I147" s="4">
        <f t="shared" si="8"/>
        <v>6.7326476191508444</v>
      </c>
      <c r="J147">
        <v>297.77999877929602</v>
      </c>
      <c r="K147">
        <v>7443400</v>
      </c>
    </row>
    <row r="148" spans="1:11" x14ac:dyDescent="0.3">
      <c r="A148" t="s">
        <v>10</v>
      </c>
      <c r="B148" s="1">
        <v>44995</v>
      </c>
      <c r="C148">
        <v>297.89999389648398</v>
      </c>
      <c r="D148">
        <v>298.79000854492102</v>
      </c>
      <c r="E148">
        <v>289</v>
      </c>
      <c r="F148">
        <v>292.760009765625</v>
      </c>
      <c r="G148" s="2">
        <f t="shared" si="6"/>
        <v>2.5618253005266251E-3</v>
      </c>
      <c r="H148" s="2">
        <f t="shared" si="7"/>
        <v>304.5660034179682</v>
      </c>
      <c r="I148" s="4">
        <f t="shared" si="8"/>
        <v>8.7830806205335836</v>
      </c>
      <c r="J148">
        <v>292.760009765625</v>
      </c>
      <c r="K148">
        <v>5759300</v>
      </c>
    </row>
    <row r="149" spans="1:11" x14ac:dyDescent="0.3">
      <c r="A149" t="s">
        <v>10</v>
      </c>
      <c r="B149" s="1">
        <v>44998</v>
      </c>
      <c r="C149">
        <v>287.33999633789</v>
      </c>
      <c r="D149">
        <v>299.239990234375</v>
      </c>
      <c r="E149">
        <v>285.329986572265</v>
      </c>
      <c r="F149">
        <v>293.510009765625</v>
      </c>
      <c r="G149" s="2">
        <f t="shared" si="6"/>
        <v>4.8720405717096573E-3</v>
      </c>
      <c r="H149" s="2">
        <f t="shared" si="7"/>
        <v>300.86200561523401</v>
      </c>
      <c r="I149" s="4">
        <f t="shared" si="8"/>
        <v>8.753510596049475</v>
      </c>
      <c r="J149">
        <v>293.510009765625</v>
      </c>
      <c r="K149">
        <v>6292400</v>
      </c>
    </row>
    <row r="150" spans="1:11" x14ac:dyDescent="0.3">
      <c r="A150" t="s">
        <v>10</v>
      </c>
      <c r="B150" s="1">
        <v>44999</v>
      </c>
      <c r="C150">
        <v>295.97000122070301</v>
      </c>
      <c r="D150">
        <v>297.45001220703102</v>
      </c>
      <c r="E150">
        <v>290.30999755859301</v>
      </c>
      <c r="F150">
        <v>294.94000244140602</v>
      </c>
      <c r="G150" s="2">
        <f t="shared" si="6"/>
        <v>3.0006123381900961E-2</v>
      </c>
      <c r="H150" s="2">
        <f t="shared" si="7"/>
        <v>298.1560058593746</v>
      </c>
      <c r="I150" s="4">
        <f t="shared" si="8"/>
        <v>7.8592643117062702</v>
      </c>
      <c r="J150">
        <v>294.94000244140602</v>
      </c>
      <c r="K150">
        <v>5956700</v>
      </c>
    </row>
    <row r="151" spans="1:11" x14ac:dyDescent="0.3">
      <c r="A151" t="s">
        <v>10</v>
      </c>
      <c r="B151" s="1">
        <v>45000</v>
      </c>
      <c r="C151">
        <v>292.510009765625</v>
      </c>
      <c r="D151">
        <v>306.30999755859301</v>
      </c>
      <c r="E151">
        <v>292.27999877929602</v>
      </c>
      <c r="F151">
        <v>303.79000854492102</v>
      </c>
      <c r="G151" s="2">
        <f t="shared" si="6"/>
        <v>2.0639220636990942E-2</v>
      </c>
      <c r="H151" s="2">
        <f t="shared" si="7"/>
        <v>296.55600585937458</v>
      </c>
      <c r="I151" s="4">
        <f t="shared" si="8"/>
        <v>4.4757150019940051</v>
      </c>
      <c r="J151">
        <v>303.79000854492102</v>
      </c>
      <c r="K151">
        <v>9215300</v>
      </c>
    </row>
    <row r="152" spans="1:11" x14ac:dyDescent="0.3">
      <c r="A152" t="s">
        <v>10</v>
      </c>
      <c r="B152" s="1">
        <v>45001</v>
      </c>
      <c r="C152">
        <v>304.75</v>
      </c>
      <c r="D152">
        <v>316.600006103515</v>
      </c>
      <c r="E152">
        <v>301.70999145507801</v>
      </c>
      <c r="F152">
        <v>310.05999755859301</v>
      </c>
      <c r="G152" s="2">
        <f t="shared" si="6"/>
        <v>-2.1157187674147961E-2</v>
      </c>
      <c r="H152" s="2">
        <f t="shared" si="7"/>
        <v>299.01200561523399</v>
      </c>
      <c r="I152" s="4">
        <f t="shared" si="8"/>
        <v>7.596513316267723</v>
      </c>
      <c r="J152">
        <v>310.05999755859301</v>
      </c>
      <c r="K152">
        <v>7903700</v>
      </c>
    </row>
    <row r="153" spans="1:11" x14ac:dyDescent="0.3">
      <c r="A153" t="s">
        <v>10</v>
      </c>
      <c r="B153" s="1">
        <v>45002</v>
      </c>
      <c r="C153">
        <v>310.05999755859301</v>
      </c>
      <c r="D153">
        <v>310.760009765625</v>
      </c>
      <c r="E153">
        <v>300</v>
      </c>
      <c r="F153">
        <v>303.5</v>
      </c>
      <c r="G153" s="2">
        <f t="shared" si="6"/>
        <v>5.3706915413904068E-3</v>
      </c>
      <c r="H153" s="2">
        <f t="shared" si="7"/>
        <v>301.16000366210903</v>
      </c>
      <c r="I153" s="4">
        <f t="shared" si="8"/>
        <v>6.8704661723968927</v>
      </c>
      <c r="J153">
        <v>303.5</v>
      </c>
      <c r="K153">
        <v>6918800</v>
      </c>
    </row>
    <row r="154" spans="1:11" x14ac:dyDescent="0.3">
      <c r="A154" t="s">
        <v>10</v>
      </c>
      <c r="B154" s="1">
        <v>45005</v>
      </c>
      <c r="C154">
        <v>299.79000854492102</v>
      </c>
      <c r="D154">
        <v>307.5</v>
      </c>
      <c r="E154">
        <v>296</v>
      </c>
      <c r="F154">
        <v>305.13000488281199</v>
      </c>
      <c r="G154" s="2">
        <f t="shared" si="6"/>
        <v>2.163024453666936E-3</v>
      </c>
      <c r="H154" s="2">
        <f t="shared" si="7"/>
        <v>303.48400268554644</v>
      </c>
      <c r="I154" s="4">
        <f t="shared" si="8"/>
        <v>5.4554300351954517</v>
      </c>
      <c r="J154">
        <v>305.13000488281199</v>
      </c>
      <c r="K154">
        <v>5113400</v>
      </c>
    </row>
    <row r="155" spans="1:11" x14ac:dyDescent="0.3">
      <c r="A155" t="s">
        <v>10</v>
      </c>
      <c r="B155" s="1">
        <v>45006</v>
      </c>
      <c r="C155">
        <v>306.32000732421801</v>
      </c>
      <c r="D155">
        <v>307.92001342773398</v>
      </c>
      <c r="E155">
        <v>300.42999267578102</v>
      </c>
      <c r="F155">
        <v>305.79000854492102</v>
      </c>
      <c r="G155" s="2">
        <f t="shared" si="6"/>
        <v>-3.8882940306044646E-2</v>
      </c>
      <c r="H155" s="2">
        <f t="shared" si="7"/>
        <v>305.65400390624939</v>
      </c>
      <c r="I155" s="4">
        <f t="shared" si="8"/>
        <v>2.6372364246492546</v>
      </c>
      <c r="J155">
        <v>305.79000854492102</v>
      </c>
      <c r="K155">
        <v>4886300</v>
      </c>
    </row>
    <row r="156" spans="1:11" x14ac:dyDescent="0.3">
      <c r="A156" t="s">
        <v>10</v>
      </c>
      <c r="B156" s="1">
        <v>45007</v>
      </c>
      <c r="C156">
        <v>306.30999755859301</v>
      </c>
      <c r="D156">
        <v>306.45001220703102</v>
      </c>
      <c r="E156">
        <v>293.54000854492102</v>
      </c>
      <c r="F156">
        <v>293.89999389648398</v>
      </c>
      <c r="G156" s="2">
        <f t="shared" si="6"/>
        <v>9.0064653863266647E-2</v>
      </c>
      <c r="H156" s="2">
        <f t="shared" si="7"/>
        <v>303.67600097656202</v>
      </c>
      <c r="I156" s="4">
        <f t="shared" si="8"/>
        <v>5.9778729179228023</v>
      </c>
      <c r="J156">
        <v>293.89999389648398</v>
      </c>
      <c r="K156">
        <v>5808000</v>
      </c>
    </row>
    <row r="157" spans="1:11" x14ac:dyDescent="0.3">
      <c r="A157" t="s">
        <v>10</v>
      </c>
      <c r="B157" s="1">
        <v>45008</v>
      </c>
      <c r="C157">
        <v>304.67999267578102</v>
      </c>
      <c r="D157">
        <v>322.77999877929602</v>
      </c>
      <c r="E157">
        <v>304.14001464843699</v>
      </c>
      <c r="F157">
        <v>320.36999511718699</v>
      </c>
      <c r="G157" s="2">
        <f t="shared" si="6"/>
        <v>2.5033616298294058E-2</v>
      </c>
      <c r="H157" s="2">
        <f t="shared" si="7"/>
        <v>305.73800048828082</v>
      </c>
      <c r="I157" s="4">
        <f t="shared" si="8"/>
        <v>9.4817545392128579</v>
      </c>
      <c r="J157">
        <v>320.36999511718699</v>
      </c>
      <c r="K157">
        <v>15653300</v>
      </c>
    </row>
    <row r="158" spans="1:11" x14ac:dyDescent="0.3">
      <c r="A158" t="s">
        <v>10</v>
      </c>
      <c r="B158" s="1">
        <v>45009</v>
      </c>
      <c r="C158">
        <v>320.63000488281199</v>
      </c>
      <c r="D158">
        <v>331.829986572265</v>
      </c>
      <c r="E158">
        <v>320.63000488281199</v>
      </c>
      <c r="F158">
        <v>328.39001464843699</v>
      </c>
      <c r="G158" s="2">
        <f t="shared" si="6"/>
        <v>-2.222999950560421E-3</v>
      </c>
      <c r="H158" s="2">
        <f t="shared" si="7"/>
        <v>310.71600341796818</v>
      </c>
      <c r="I158" s="4">
        <f t="shared" si="8"/>
        <v>13.636506242931366</v>
      </c>
      <c r="J158">
        <v>328.39001464843699</v>
      </c>
      <c r="K158">
        <v>12991700</v>
      </c>
    </row>
    <row r="159" spans="1:11" x14ac:dyDescent="0.3">
      <c r="A159" t="s">
        <v>10</v>
      </c>
      <c r="B159" s="1">
        <v>45012</v>
      </c>
      <c r="C159">
        <v>327.54998779296801</v>
      </c>
      <c r="D159">
        <v>336.44000244140602</v>
      </c>
      <c r="E159">
        <v>324.41000366210898</v>
      </c>
      <c r="F159">
        <v>327.66000366210898</v>
      </c>
      <c r="G159" s="2">
        <f t="shared" si="6"/>
        <v>-1.2635093090907852E-2</v>
      </c>
      <c r="H159" s="2">
        <f t="shared" si="7"/>
        <v>315.2220031738276</v>
      </c>
      <c r="I159" s="4">
        <f t="shared" si="8"/>
        <v>14.984932479775106</v>
      </c>
      <c r="J159">
        <v>327.66000366210898</v>
      </c>
      <c r="K159">
        <v>8625800</v>
      </c>
    </row>
    <row r="160" spans="1:11" x14ac:dyDescent="0.3">
      <c r="A160" t="s">
        <v>10</v>
      </c>
      <c r="B160" s="1">
        <v>45013</v>
      </c>
      <c r="C160">
        <v>326.05999755859301</v>
      </c>
      <c r="D160">
        <v>333.32000732421801</v>
      </c>
      <c r="E160">
        <v>321.27999877929602</v>
      </c>
      <c r="F160">
        <v>323.51998901367102</v>
      </c>
      <c r="G160" s="2">
        <f t="shared" si="6"/>
        <v>2.630443266139389E-2</v>
      </c>
      <c r="H160" s="2">
        <f t="shared" si="7"/>
        <v>318.76799926757758</v>
      </c>
      <c r="I160" s="4">
        <f t="shared" si="8"/>
        <v>14.275997430370181</v>
      </c>
      <c r="J160">
        <v>323.51998901367102</v>
      </c>
      <c r="K160">
        <v>6489400</v>
      </c>
    </row>
    <row r="161" spans="1:11" x14ac:dyDescent="0.3">
      <c r="A161" t="s">
        <v>10</v>
      </c>
      <c r="B161" s="1">
        <v>45014</v>
      </c>
      <c r="C161">
        <v>326.29000854492102</v>
      </c>
      <c r="D161">
        <v>332.850006103515</v>
      </c>
      <c r="E161">
        <v>325.73001098632801</v>
      </c>
      <c r="F161">
        <v>332.02999877929602</v>
      </c>
      <c r="G161" s="2">
        <f t="shared" si="6"/>
        <v>1.9275348372178702E-2</v>
      </c>
      <c r="H161" s="2">
        <f t="shared" si="7"/>
        <v>326.39400024413999</v>
      </c>
      <c r="I161" s="4">
        <f t="shared" si="8"/>
        <v>4.5249280648196217</v>
      </c>
      <c r="J161">
        <v>332.02999877929602</v>
      </c>
      <c r="K161">
        <v>6287300</v>
      </c>
    </row>
    <row r="162" spans="1:11" x14ac:dyDescent="0.3">
      <c r="A162" t="s">
        <v>10</v>
      </c>
      <c r="B162" s="1">
        <v>45015</v>
      </c>
      <c r="C162">
        <v>340.26998901367102</v>
      </c>
      <c r="D162">
        <v>343.29000854492102</v>
      </c>
      <c r="E162">
        <v>335.29998779296801</v>
      </c>
      <c r="F162">
        <v>338.42999267578102</v>
      </c>
      <c r="G162" s="2">
        <f t="shared" si="6"/>
        <v>2.083154112555553E-2</v>
      </c>
      <c r="H162" s="2">
        <f t="shared" si="7"/>
        <v>330.0059997558588</v>
      </c>
      <c r="I162" s="4">
        <f t="shared" si="8"/>
        <v>5.5956159099970471</v>
      </c>
      <c r="J162">
        <v>338.42999267578102</v>
      </c>
      <c r="K162">
        <v>7131500</v>
      </c>
    </row>
    <row r="163" spans="1:11" x14ac:dyDescent="0.3">
      <c r="A163" t="s">
        <v>10</v>
      </c>
      <c r="B163" s="1">
        <v>45016</v>
      </c>
      <c r="C163">
        <v>340.04998779296801</v>
      </c>
      <c r="D163">
        <v>345.83999633789</v>
      </c>
      <c r="E163">
        <v>337.20001220703102</v>
      </c>
      <c r="F163">
        <v>345.48001098632801</v>
      </c>
      <c r="G163" s="2">
        <f t="shared" si="6"/>
        <v>8.1046303807105567E-3</v>
      </c>
      <c r="H163" s="2">
        <f t="shared" si="7"/>
        <v>333.42399902343703</v>
      </c>
      <c r="I163" s="4">
        <f t="shared" si="8"/>
        <v>8.7129743827280439</v>
      </c>
      <c r="J163">
        <v>345.48001098632801</v>
      </c>
      <c r="K163">
        <v>5610200</v>
      </c>
    </row>
    <row r="164" spans="1:11" x14ac:dyDescent="0.3">
      <c r="A164" t="s">
        <v>10</v>
      </c>
      <c r="B164" s="1">
        <v>45019</v>
      </c>
      <c r="C164">
        <v>341.829986572265</v>
      </c>
      <c r="D164">
        <v>348.579986572265</v>
      </c>
      <c r="E164">
        <v>340.39999389648398</v>
      </c>
      <c r="F164">
        <v>348.27999877929602</v>
      </c>
      <c r="G164" s="2">
        <f t="shared" si="6"/>
        <v>-4.3930136231152854E-3</v>
      </c>
      <c r="H164" s="2">
        <f t="shared" si="7"/>
        <v>337.5479980468744</v>
      </c>
      <c r="I164" s="4">
        <f t="shared" si="8"/>
        <v>10.076010332348922</v>
      </c>
      <c r="J164">
        <v>348.27999877929602</v>
      </c>
      <c r="K164">
        <v>4413700</v>
      </c>
    </row>
    <row r="165" spans="1:11" x14ac:dyDescent="0.3">
      <c r="A165" t="s">
        <v>10</v>
      </c>
      <c r="B165" s="1">
        <v>45020</v>
      </c>
      <c r="C165">
        <v>348.489990234375</v>
      </c>
      <c r="D165">
        <v>349.79998779296801</v>
      </c>
      <c r="E165">
        <v>343.95001220703102</v>
      </c>
      <c r="F165">
        <v>346.75</v>
      </c>
      <c r="G165" s="2">
        <f t="shared" si="6"/>
        <v>-1.2689239787988466E-2</v>
      </c>
      <c r="H165" s="2">
        <f t="shared" si="7"/>
        <v>342.19400024414023</v>
      </c>
      <c r="I165" s="4">
        <f t="shared" si="8"/>
        <v>6.820356612654261</v>
      </c>
      <c r="J165">
        <v>346.75</v>
      </c>
      <c r="K165">
        <v>3298100</v>
      </c>
    </row>
    <row r="166" spans="1:11" x14ac:dyDescent="0.3">
      <c r="A166" t="s">
        <v>10</v>
      </c>
      <c r="B166" s="1">
        <v>45021</v>
      </c>
      <c r="C166">
        <v>345.29998779296801</v>
      </c>
      <c r="D166">
        <v>345.42999267578102</v>
      </c>
      <c r="E166">
        <v>336.25</v>
      </c>
      <c r="F166">
        <v>342.350006103515</v>
      </c>
      <c r="G166" s="2">
        <f t="shared" si="6"/>
        <v>-8.8214385202518408E-3</v>
      </c>
      <c r="H166" s="2">
        <f t="shared" si="7"/>
        <v>344.25800170898401</v>
      </c>
      <c r="I166" s="4">
        <f t="shared" si="8"/>
        <v>3.9206491526125018</v>
      </c>
      <c r="J166">
        <v>342.350006103515</v>
      </c>
      <c r="K166">
        <v>4205500</v>
      </c>
    </row>
    <row r="167" spans="1:11" x14ac:dyDescent="0.3">
      <c r="A167" t="s">
        <v>10</v>
      </c>
      <c r="B167" s="1">
        <v>45022</v>
      </c>
      <c r="C167">
        <v>339.33999633789</v>
      </c>
      <c r="D167">
        <v>340.48001098632801</v>
      </c>
      <c r="E167">
        <v>332.63000488281199</v>
      </c>
      <c r="F167">
        <v>339.329986572265</v>
      </c>
      <c r="G167" s="2">
        <f t="shared" si="6"/>
        <v>-1.0019637265909385E-3</v>
      </c>
      <c r="H167" s="2">
        <f t="shared" si="7"/>
        <v>344.43800048828081</v>
      </c>
      <c r="I167" s="4">
        <f t="shared" si="8"/>
        <v>3.5931742653752159</v>
      </c>
      <c r="J167">
        <v>339.329986572265</v>
      </c>
      <c r="K167">
        <v>4660500</v>
      </c>
    </row>
    <row r="168" spans="1:11" x14ac:dyDescent="0.3">
      <c r="A168" t="s">
        <v>10</v>
      </c>
      <c r="B168" s="1">
        <v>45026</v>
      </c>
      <c r="C168">
        <v>335.26998901367102</v>
      </c>
      <c r="D168">
        <v>339.88000488281199</v>
      </c>
      <c r="E168">
        <v>333.35998535156199</v>
      </c>
      <c r="F168">
        <v>338.989990234375</v>
      </c>
      <c r="G168" s="2">
        <f t="shared" si="6"/>
        <v>-2.3009492957526672E-3</v>
      </c>
      <c r="H168" s="2">
        <f t="shared" si="7"/>
        <v>343.13999633789018</v>
      </c>
      <c r="I168" s="4">
        <f t="shared" si="8"/>
        <v>4.2371736211148168</v>
      </c>
      <c r="J168">
        <v>338.989990234375</v>
      </c>
      <c r="K168">
        <v>2657900</v>
      </c>
    </row>
    <row r="169" spans="1:11" x14ac:dyDescent="0.3">
      <c r="A169" t="s">
        <v>10</v>
      </c>
      <c r="B169" s="1">
        <v>45027</v>
      </c>
      <c r="C169">
        <v>343.45001220703102</v>
      </c>
      <c r="D169">
        <v>347.14001464843699</v>
      </c>
      <c r="E169">
        <v>337.64001464843699</v>
      </c>
      <c r="F169">
        <v>338.20999145507801</v>
      </c>
      <c r="G169" s="2">
        <f t="shared" si="6"/>
        <v>-2.1229392558426693E-2</v>
      </c>
      <c r="H169" s="2">
        <f t="shared" si="7"/>
        <v>341.12599487304658</v>
      </c>
      <c r="I169" s="4">
        <f t="shared" si="8"/>
        <v>3.5149279767449855</v>
      </c>
      <c r="J169">
        <v>338.20999145507801</v>
      </c>
      <c r="K169">
        <v>4044800</v>
      </c>
    </row>
    <row r="170" spans="1:11" x14ac:dyDescent="0.3">
      <c r="A170" t="s">
        <v>10</v>
      </c>
      <c r="B170" s="1">
        <v>45028</v>
      </c>
      <c r="C170">
        <v>340.80999755859301</v>
      </c>
      <c r="D170">
        <v>342.79998779296801</v>
      </c>
      <c r="E170">
        <v>330.04000854492102</v>
      </c>
      <c r="F170">
        <v>331.02999877929602</v>
      </c>
      <c r="G170" s="2">
        <f t="shared" si="6"/>
        <v>4.5796464725293556E-2</v>
      </c>
      <c r="H170" s="2">
        <f t="shared" si="7"/>
        <v>337.9819946289058</v>
      </c>
      <c r="I170" s="4">
        <f t="shared" si="8"/>
        <v>4.1921024113224004</v>
      </c>
      <c r="J170">
        <v>331.02999877929602</v>
      </c>
      <c r="K170">
        <v>3965400</v>
      </c>
    </row>
    <row r="171" spans="1:11" x14ac:dyDescent="0.3">
      <c r="A171" t="s">
        <v>10</v>
      </c>
      <c r="B171" s="1">
        <v>45029</v>
      </c>
      <c r="C171">
        <v>339.989990234375</v>
      </c>
      <c r="D171">
        <v>346.42999267578102</v>
      </c>
      <c r="E171">
        <v>338.75</v>
      </c>
      <c r="F171">
        <v>346.19000244140602</v>
      </c>
      <c r="G171" s="2">
        <f t="shared" si="6"/>
        <v>-2.1837711965334967E-2</v>
      </c>
      <c r="H171" s="2">
        <f t="shared" si="7"/>
        <v>338.749993896484</v>
      </c>
      <c r="I171" s="4">
        <f t="shared" si="8"/>
        <v>5.3767472541678032</v>
      </c>
      <c r="J171">
        <v>346.19000244140602</v>
      </c>
      <c r="K171">
        <v>7406400</v>
      </c>
    </row>
    <row r="172" spans="1:11" x14ac:dyDescent="0.3">
      <c r="A172" t="s">
        <v>10</v>
      </c>
      <c r="B172" s="1">
        <v>45030</v>
      </c>
      <c r="C172">
        <v>342.94000244140602</v>
      </c>
      <c r="D172">
        <v>344.850006103515</v>
      </c>
      <c r="E172">
        <v>336.41000366210898</v>
      </c>
      <c r="F172">
        <v>338.63000488281199</v>
      </c>
      <c r="G172" s="2">
        <f t="shared" si="6"/>
        <v>-1.7452687525886027E-2</v>
      </c>
      <c r="H172" s="2">
        <f t="shared" si="7"/>
        <v>338.60999755859342</v>
      </c>
      <c r="I172" s="4">
        <f t="shared" si="8"/>
        <v>5.3669743600825166</v>
      </c>
      <c r="J172">
        <v>338.63000488281199</v>
      </c>
      <c r="K172">
        <v>5350500</v>
      </c>
    </row>
    <row r="173" spans="1:11" x14ac:dyDescent="0.3">
      <c r="A173" t="s">
        <v>10</v>
      </c>
      <c r="B173" s="1">
        <v>45033</v>
      </c>
      <c r="C173">
        <v>338</v>
      </c>
      <c r="D173">
        <v>338.39001464843699</v>
      </c>
      <c r="E173">
        <v>327.5</v>
      </c>
      <c r="F173">
        <v>332.72000122070301</v>
      </c>
      <c r="G173" s="2">
        <f t="shared" si="6"/>
        <v>2.9454525809464067E-3</v>
      </c>
      <c r="H173" s="2">
        <f t="shared" si="7"/>
        <v>337.35599975585899</v>
      </c>
      <c r="I173" s="4">
        <f t="shared" si="8"/>
        <v>5.9561473518444306</v>
      </c>
      <c r="J173">
        <v>332.72000122070301</v>
      </c>
      <c r="K173">
        <v>6136000</v>
      </c>
    </row>
    <row r="174" spans="1:11" x14ac:dyDescent="0.3">
      <c r="A174" t="s">
        <v>10</v>
      </c>
      <c r="B174" s="1">
        <v>45034</v>
      </c>
      <c r="C174">
        <v>335</v>
      </c>
      <c r="D174">
        <v>337.19000244140602</v>
      </c>
      <c r="E174">
        <v>330.5</v>
      </c>
      <c r="F174">
        <v>333.70001220703102</v>
      </c>
      <c r="G174" s="2">
        <f t="shared" si="6"/>
        <v>-3.1705174416595705E-2</v>
      </c>
      <c r="H174" s="2">
        <f t="shared" si="7"/>
        <v>336.45400390624957</v>
      </c>
      <c r="I174" s="4">
        <f t="shared" si="8"/>
        <v>6.1333458584776777</v>
      </c>
      <c r="J174">
        <v>333.70001220703102</v>
      </c>
      <c r="K174">
        <v>17944500</v>
      </c>
    </row>
    <row r="175" spans="1:11" x14ac:dyDescent="0.3">
      <c r="A175" t="s">
        <v>10</v>
      </c>
      <c r="B175" s="1">
        <v>45035</v>
      </c>
      <c r="C175">
        <v>324.20999145507801</v>
      </c>
      <c r="D175">
        <v>325.75</v>
      </c>
      <c r="E175">
        <v>316.100006103515</v>
      </c>
      <c r="F175">
        <v>323.11999511718699</v>
      </c>
      <c r="G175" s="2">
        <f t="shared" si="6"/>
        <v>6.9014948626724441E-3</v>
      </c>
      <c r="H175" s="2">
        <f t="shared" si="7"/>
        <v>334.87200317382786</v>
      </c>
      <c r="I175" s="4">
        <f t="shared" si="8"/>
        <v>8.4607040614461564</v>
      </c>
      <c r="J175">
        <v>323.11999511718699</v>
      </c>
      <c r="K175">
        <v>22128300</v>
      </c>
    </row>
    <row r="176" spans="1:11" x14ac:dyDescent="0.3">
      <c r="A176" t="s">
        <v>10</v>
      </c>
      <c r="B176" s="1">
        <v>45036</v>
      </c>
      <c r="C176">
        <v>320.39001464843699</v>
      </c>
      <c r="D176">
        <v>331.42999267578102</v>
      </c>
      <c r="E176">
        <v>318.329986572265</v>
      </c>
      <c r="F176">
        <v>325.350006103515</v>
      </c>
      <c r="G176" s="2">
        <f t="shared" si="6"/>
        <v>8.0836171307039593E-3</v>
      </c>
      <c r="H176" s="2">
        <f t="shared" si="7"/>
        <v>330.70400390624957</v>
      </c>
      <c r="I176" s="4">
        <f t="shared" si="8"/>
        <v>6.3648307945885012</v>
      </c>
      <c r="J176">
        <v>325.350006103515</v>
      </c>
      <c r="K176">
        <v>9947800</v>
      </c>
    </row>
    <row r="177" spans="1:11" x14ac:dyDescent="0.3">
      <c r="A177" t="s">
        <v>10</v>
      </c>
      <c r="B177" s="1">
        <v>45037</v>
      </c>
      <c r="C177">
        <v>323</v>
      </c>
      <c r="D177">
        <v>328.29000854492102</v>
      </c>
      <c r="E177">
        <v>319.5</v>
      </c>
      <c r="F177">
        <v>327.98001098632801</v>
      </c>
      <c r="G177" s="2">
        <f t="shared" si="6"/>
        <v>3.1708579562989372E-3</v>
      </c>
      <c r="H177" s="2">
        <f t="shared" si="7"/>
        <v>328.57400512695278</v>
      </c>
      <c r="I177" s="4">
        <f t="shared" si="8"/>
        <v>4.5814423526672856</v>
      </c>
      <c r="J177">
        <v>327.98001098632801</v>
      </c>
      <c r="K177">
        <v>6348000</v>
      </c>
    </row>
    <row r="178" spans="1:11" x14ac:dyDescent="0.3">
      <c r="A178" t="s">
        <v>10</v>
      </c>
      <c r="B178" s="1">
        <v>45040</v>
      </c>
      <c r="C178">
        <v>330.20001220703102</v>
      </c>
      <c r="D178">
        <v>334.66000366210898</v>
      </c>
      <c r="E178">
        <v>326.75</v>
      </c>
      <c r="F178">
        <v>329.01998901367102</v>
      </c>
      <c r="G178" s="2">
        <f t="shared" si="6"/>
        <v>-1.9664462454389596E-2</v>
      </c>
      <c r="H178" s="2">
        <f t="shared" si="7"/>
        <v>327.83400268554641</v>
      </c>
      <c r="I178" s="4">
        <f t="shared" si="8"/>
        <v>4.0071828032496031</v>
      </c>
      <c r="J178">
        <v>329.01998901367102</v>
      </c>
      <c r="K178">
        <v>5586600</v>
      </c>
    </row>
    <row r="179" spans="1:11" x14ac:dyDescent="0.3">
      <c r="A179" t="s">
        <v>10</v>
      </c>
      <c r="B179" s="1">
        <v>45041</v>
      </c>
      <c r="C179">
        <v>328.5</v>
      </c>
      <c r="D179">
        <v>328.66000366210898</v>
      </c>
      <c r="E179">
        <v>321.100006103515</v>
      </c>
      <c r="F179">
        <v>322.54998779296801</v>
      </c>
      <c r="G179" s="2">
        <f t="shared" si="6"/>
        <v>-4.3403935807389774E-3</v>
      </c>
      <c r="H179" s="2">
        <f t="shared" si="7"/>
        <v>325.60399780273383</v>
      </c>
      <c r="I179" s="4">
        <f t="shared" si="8"/>
        <v>2.8668882462802463</v>
      </c>
      <c r="J179">
        <v>322.54998779296801</v>
      </c>
      <c r="K179">
        <v>5426600</v>
      </c>
    </row>
    <row r="180" spans="1:11" x14ac:dyDescent="0.3">
      <c r="A180" t="s">
        <v>10</v>
      </c>
      <c r="B180" s="1">
        <v>45042</v>
      </c>
      <c r="C180">
        <v>321.35998535156199</v>
      </c>
      <c r="D180">
        <v>325.89999389648398</v>
      </c>
      <c r="E180">
        <v>320.47000122070301</v>
      </c>
      <c r="F180">
        <v>321.14999389648398</v>
      </c>
      <c r="G180" s="2">
        <f t="shared" si="6"/>
        <v>1.4634944095767207E-2</v>
      </c>
      <c r="H180" s="2">
        <f t="shared" si="7"/>
        <v>325.20999755859322</v>
      </c>
      <c r="I180" s="4">
        <f t="shared" si="8"/>
        <v>3.3825986075726595</v>
      </c>
      <c r="J180">
        <v>321.14999389648398</v>
      </c>
      <c r="K180">
        <v>4623200</v>
      </c>
    </row>
    <row r="181" spans="1:11" x14ac:dyDescent="0.3">
      <c r="A181" t="s">
        <v>10</v>
      </c>
      <c r="B181" s="1">
        <v>45043</v>
      </c>
      <c r="C181">
        <v>324.29998779296801</v>
      </c>
      <c r="D181">
        <v>327.45001220703102</v>
      </c>
      <c r="E181">
        <v>317.44000244140602</v>
      </c>
      <c r="F181">
        <v>325.850006103515</v>
      </c>
      <c r="G181" s="2">
        <f t="shared" si="6"/>
        <v>1.2521057222168367E-2</v>
      </c>
      <c r="H181" s="2">
        <f t="shared" si="7"/>
        <v>325.30999755859318</v>
      </c>
      <c r="I181" s="4">
        <f t="shared" si="8"/>
        <v>3.3951399788790657</v>
      </c>
      <c r="J181">
        <v>325.850006103515</v>
      </c>
      <c r="K181">
        <v>5618800</v>
      </c>
    </row>
    <row r="182" spans="1:11" x14ac:dyDescent="0.3">
      <c r="A182" t="s">
        <v>10</v>
      </c>
      <c r="B182" s="1">
        <v>45044</v>
      </c>
      <c r="C182">
        <v>325.239990234375</v>
      </c>
      <c r="D182">
        <v>330.80999755859301</v>
      </c>
      <c r="E182">
        <v>324</v>
      </c>
      <c r="F182">
        <v>329.92999267578102</v>
      </c>
      <c r="G182" s="2">
        <f t="shared" si="6"/>
        <v>-1.7609789008492666E-2</v>
      </c>
      <c r="H182" s="2">
        <f t="shared" si="7"/>
        <v>325.69999389648376</v>
      </c>
      <c r="I182" s="4">
        <f t="shared" si="8"/>
        <v>3.8588469574941189</v>
      </c>
      <c r="J182">
        <v>329.92999267578102</v>
      </c>
      <c r="K182">
        <v>4221900</v>
      </c>
    </row>
    <row r="183" spans="1:11" x14ac:dyDescent="0.3">
      <c r="A183" t="s">
        <v>10</v>
      </c>
      <c r="B183" s="1">
        <v>45047</v>
      </c>
      <c r="C183">
        <v>329.44000244140602</v>
      </c>
      <c r="D183">
        <v>331.23001098632801</v>
      </c>
      <c r="E183">
        <v>318.08999633789</v>
      </c>
      <c r="F183">
        <v>324.11999511718699</v>
      </c>
      <c r="G183" s="2">
        <f t="shared" si="6"/>
        <v>-2.0270293172883588E-2</v>
      </c>
      <c r="H183" s="2">
        <f t="shared" si="7"/>
        <v>324.71999511718701</v>
      </c>
      <c r="I183" s="4">
        <f t="shared" si="8"/>
        <v>3.3998102848821872</v>
      </c>
      <c r="J183">
        <v>324.11999511718699</v>
      </c>
      <c r="K183">
        <v>5341500</v>
      </c>
    </row>
    <row r="184" spans="1:11" x14ac:dyDescent="0.3">
      <c r="A184" t="s">
        <v>10</v>
      </c>
      <c r="B184" s="1">
        <v>45048</v>
      </c>
      <c r="C184">
        <v>325</v>
      </c>
      <c r="D184">
        <v>326.07000732421801</v>
      </c>
      <c r="E184">
        <v>315.61999511718699</v>
      </c>
      <c r="F184">
        <v>317.54998779296801</v>
      </c>
      <c r="G184" s="2">
        <f t="shared" si="6"/>
        <v>5.5109433704054857E-3</v>
      </c>
      <c r="H184" s="2">
        <f t="shared" si="7"/>
        <v>323.71999511718701</v>
      </c>
      <c r="I184" s="4">
        <f t="shared" si="8"/>
        <v>4.6886808681907723</v>
      </c>
      <c r="J184">
        <v>317.54998779296801</v>
      </c>
      <c r="K184">
        <v>4318600</v>
      </c>
    </row>
    <row r="185" spans="1:11" x14ac:dyDescent="0.3">
      <c r="A185" t="s">
        <v>10</v>
      </c>
      <c r="B185" s="1">
        <v>45049</v>
      </c>
      <c r="C185">
        <v>317.54998779296801</v>
      </c>
      <c r="D185">
        <v>324.61999511718699</v>
      </c>
      <c r="E185">
        <v>315.850006103515</v>
      </c>
      <c r="F185">
        <v>319.29998779296801</v>
      </c>
      <c r="G185" s="2">
        <f t="shared" si="6"/>
        <v>4.6351739521131472E-3</v>
      </c>
      <c r="H185" s="2">
        <f t="shared" si="7"/>
        <v>323.34999389648385</v>
      </c>
      <c r="I185" s="4">
        <f t="shared" si="8"/>
        <v>5.0045471096313481</v>
      </c>
      <c r="J185">
        <v>319.29998779296801</v>
      </c>
      <c r="K185">
        <v>5064100</v>
      </c>
    </row>
    <row r="186" spans="1:11" x14ac:dyDescent="0.3">
      <c r="A186" t="s">
        <v>10</v>
      </c>
      <c r="B186" s="1">
        <v>45050</v>
      </c>
      <c r="C186">
        <v>319.010009765625</v>
      </c>
      <c r="D186">
        <v>323.60998535156199</v>
      </c>
      <c r="E186">
        <v>317.95001220703102</v>
      </c>
      <c r="F186">
        <v>320.77999877929602</v>
      </c>
      <c r="G186" s="2">
        <f t="shared" si="6"/>
        <v>6.1724889140961385E-3</v>
      </c>
      <c r="H186" s="2">
        <f t="shared" si="7"/>
        <v>322.33599243164002</v>
      </c>
      <c r="I186" s="4">
        <f t="shared" si="8"/>
        <v>4.8835383203066796</v>
      </c>
      <c r="J186">
        <v>320.77999877929602</v>
      </c>
      <c r="K186">
        <v>3879700</v>
      </c>
    </row>
    <row r="187" spans="1:11" x14ac:dyDescent="0.3">
      <c r="A187" t="s">
        <v>10</v>
      </c>
      <c r="B187" s="1">
        <v>45051</v>
      </c>
      <c r="C187">
        <v>323.60998535156199</v>
      </c>
      <c r="D187">
        <v>324.14999389648398</v>
      </c>
      <c r="E187">
        <v>319.44000244140602</v>
      </c>
      <c r="F187">
        <v>322.760009765625</v>
      </c>
      <c r="G187" s="2">
        <f t="shared" si="6"/>
        <v>0</v>
      </c>
      <c r="H187" s="2">
        <f t="shared" si="7"/>
        <v>320.9019958496088</v>
      </c>
      <c r="I187" s="4">
        <f t="shared" si="8"/>
        <v>2.6279747957664696</v>
      </c>
      <c r="J187">
        <v>322.760009765625</v>
      </c>
      <c r="K187">
        <v>3988600</v>
      </c>
    </row>
    <row r="188" spans="1:11" x14ac:dyDescent="0.3">
      <c r="A188" t="s">
        <v>11</v>
      </c>
      <c r="B188" s="1">
        <v>44964</v>
      </c>
      <c r="C188">
        <v>103.629997253417</v>
      </c>
      <c r="D188">
        <v>108.669998168945</v>
      </c>
      <c r="E188">
        <v>103.54799652099599</v>
      </c>
      <c r="F188">
        <v>108.040000915527</v>
      </c>
      <c r="G188" s="2">
        <f t="shared" si="6"/>
        <v>-7.4416890479418088E-2</v>
      </c>
      <c r="H188" s="2" t="str">
        <f t="shared" si="7"/>
        <v/>
      </c>
      <c r="I188" s="4" t="str">
        <f t="shared" si="8"/>
        <v/>
      </c>
      <c r="J188">
        <v>108.040000915527</v>
      </c>
      <c r="K188">
        <v>33738800</v>
      </c>
    </row>
    <row r="189" spans="1:11" x14ac:dyDescent="0.3">
      <c r="A189" t="s">
        <v>11</v>
      </c>
      <c r="B189" s="1">
        <v>44965</v>
      </c>
      <c r="C189">
        <v>102.69000244140599</v>
      </c>
      <c r="D189">
        <v>103.58000183105401</v>
      </c>
      <c r="E189">
        <v>98.455001831054602</v>
      </c>
      <c r="F189">
        <v>100</v>
      </c>
      <c r="G189" s="2">
        <f t="shared" si="6"/>
        <v>-4.5400009155274007E-2</v>
      </c>
      <c r="H189" s="2" t="str">
        <f t="shared" si="7"/>
        <v/>
      </c>
      <c r="I189" s="4" t="str">
        <f t="shared" si="8"/>
        <v/>
      </c>
      <c r="J189">
        <v>100</v>
      </c>
      <c r="K189">
        <v>73546000</v>
      </c>
    </row>
    <row r="190" spans="1:11" x14ac:dyDescent="0.3">
      <c r="A190" t="s">
        <v>11</v>
      </c>
      <c r="B190" s="1">
        <v>44966</v>
      </c>
      <c r="C190">
        <v>100.540000915527</v>
      </c>
      <c r="D190">
        <v>100.61000061035099</v>
      </c>
      <c r="E190">
        <v>93.860000610351506</v>
      </c>
      <c r="F190">
        <v>95.459999084472599</v>
      </c>
      <c r="G190" s="2">
        <f t="shared" si="6"/>
        <v>-6.2853391983605069E-3</v>
      </c>
      <c r="H190" s="2" t="str">
        <f t="shared" si="7"/>
        <v/>
      </c>
      <c r="I190" s="4" t="str">
        <f t="shared" si="8"/>
        <v/>
      </c>
      <c r="J190">
        <v>95.459999084472599</v>
      </c>
      <c r="K190">
        <v>97798600</v>
      </c>
    </row>
    <row r="191" spans="1:11" x14ac:dyDescent="0.3">
      <c r="A191" t="s">
        <v>11</v>
      </c>
      <c r="B191" s="1">
        <v>44967</v>
      </c>
      <c r="C191">
        <v>95.739997863769503</v>
      </c>
      <c r="D191">
        <v>97.019996643066406</v>
      </c>
      <c r="E191">
        <v>94.529998779296804</v>
      </c>
      <c r="F191">
        <v>94.860000610351506</v>
      </c>
      <c r="G191" s="2">
        <f t="shared" si="6"/>
        <v>1.4758527171379445E-3</v>
      </c>
      <c r="H191" s="2" t="str">
        <f t="shared" si="7"/>
        <v/>
      </c>
      <c r="I191" s="4" t="str">
        <f t="shared" si="8"/>
        <v/>
      </c>
      <c r="J191">
        <v>94.860000610351506</v>
      </c>
      <c r="K191">
        <v>49325300</v>
      </c>
    </row>
    <row r="192" spans="1:11" x14ac:dyDescent="0.3">
      <c r="A192" t="s">
        <v>11</v>
      </c>
      <c r="B192" s="1">
        <v>44970</v>
      </c>
      <c r="C192">
        <v>95.010002136230398</v>
      </c>
      <c r="D192">
        <v>95.349998474121094</v>
      </c>
      <c r="E192">
        <v>94.050003051757798</v>
      </c>
      <c r="F192">
        <v>95</v>
      </c>
      <c r="G192" s="2">
        <f t="shared" si="6"/>
        <v>-5.2634791324102906E-4</v>
      </c>
      <c r="H192" s="2">
        <f t="shared" si="7"/>
        <v>98.672000122070216</v>
      </c>
      <c r="I192" s="4">
        <f t="shared" si="8"/>
        <v>5.6536470172213624</v>
      </c>
      <c r="J192">
        <v>95</v>
      </c>
      <c r="K192">
        <v>43116600</v>
      </c>
    </row>
    <row r="193" spans="1:11" x14ac:dyDescent="0.3">
      <c r="A193" t="s">
        <v>11</v>
      </c>
      <c r="B193" s="1">
        <v>44971</v>
      </c>
      <c r="C193">
        <v>94.660003662109304</v>
      </c>
      <c r="D193">
        <v>95.175003051757798</v>
      </c>
      <c r="E193">
        <v>92.650001525878906</v>
      </c>
      <c r="F193">
        <v>94.949996948242102</v>
      </c>
      <c r="G193" s="2">
        <f t="shared" si="6"/>
        <v>2.2643513375266058E-2</v>
      </c>
      <c r="H193" s="2">
        <f t="shared" si="7"/>
        <v>96.05399932861323</v>
      </c>
      <c r="I193" s="4">
        <f t="shared" si="8"/>
        <v>2.2180580677935859</v>
      </c>
      <c r="J193">
        <v>94.949996948242102</v>
      </c>
      <c r="K193">
        <v>42513100</v>
      </c>
    </row>
    <row r="194" spans="1:11" x14ac:dyDescent="0.3">
      <c r="A194" t="s">
        <v>11</v>
      </c>
      <c r="B194" s="1">
        <v>44972</v>
      </c>
      <c r="C194">
        <v>94.739997863769503</v>
      </c>
      <c r="D194">
        <v>97.339996337890597</v>
      </c>
      <c r="E194">
        <v>94.360000610351506</v>
      </c>
      <c r="F194">
        <v>97.099998474121094</v>
      </c>
      <c r="G194" s="2">
        <f t="shared" si="6"/>
        <v>-1.3594229820467953E-2</v>
      </c>
      <c r="H194" s="2">
        <f t="shared" si="7"/>
        <v>95.473999023437457</v>
      </c>
      <c r="I194" s="4">
        <f t="shared" si="8"/>
        <v>0.9381254596554871</v>
      </c>
      <c r="J194">
        <v>97.099998474121094</v>
      </c>
      <c r="K194">
        <v>36964500</v>
      </c>
    </row>
    <row r="195" spans="1:11" x14ac:dyDescent="0.3">
      <c r="A195" t="s">
        <v>11</v>
      </c>
      <c r="B195" s="1">
        <v>44973</v>
      </c>
      <c r="C195">
        <v>95.540000915527301</v>
      </c>
      <c r="D195">
        <v>97.879997253417898</v>
      </c>
      <c r="E195">
        <v>94.970001220703097</v>
      </c>
      <c r="F195">
        <v>95.779998779296804</v>
      </c>
      <c r="G195" s="2">
        <f t="shared" ref="G195:G249" si="9">IF(A196=A195,(F196-F195)/F195,0)</f>
        <v>-1.2424331348638842E-2</v>
      </c>
      <c r="H195" s="2">
        <f t="shared" si="7"/>
        <v>95.537998962402312</v>
      </c>
      <c r="I195" s="4">
        <f t="shared" si="8"/>
        <v>0.94779710428613329</v>
      </c>
      <c r="J195">
        <v>95.779998779296804</v>
      </c>
      <c r="K195">
        <v>35642100</v>
      </c>
    </row>
    <row r="196" spans="1:11" x14ac:dyDescent="0.3">
      <c r="A196" t="s">
        <v>11</v>
      </c>
      <c r="B196" s="1">
        <v>44974</v>
      </c>
      <c r="C196">
        <v>95.069999694824205</v>
      </c>
      <c r="D196">
        <v>95.75</v>
      </c>
      <c r="E196">
        <v>93.449996948242102</v>
      </c>
      <c r="F196">
        <v>94.589996337890597</v>
      </c>
      <c r="G196" s="2">
        <f t="shared" si="9"/>
        <v>-2.6852662908026088E-2</v>
      </c>
      <c r="H196" s="2">
        <f t="shared" si="7"/>
        <v>95.483998107910111</v>
      </c>
      <c r="I196" s="4">
        <f t="shared" si="8"/>
        <v>1.0022130702650975</v>
      </c>
      <c r="J196">
        <v>94.589996337890597</v>
      </c>
      <c r="K196">
        <v>31095100</v>
      </c>
    </row>
    <row r="197" spans="1:11" x14ac:dyDescent="0.3">
      <c r="A197" t="s">
        <v>11</v>
      </c>
      <c r="B197" s="1">
        <v>44978</v>
      </c>
      <c r="C197">
        <v>93.239997863769503</v>
      </c>
      <c r="D197">
        <v>93.415000915527301</v>
      </c>
      <c r="E197">
        <v>92</v>
      </c>
      <c r="F197">
        <v>92.050003051757798</v>
      </c>
      <c r="G197" s="2">
        <f t="shared" si="9"/>
        <v>-2.7159151734023322E-3</v>
      </c>
      <c r="H197" s="2">
        <f t="shared" si="7"/>
        <v>94.89399871826167</v>
      </c>
      <c r="I197" s="4">
        <f t="shared" si="8"/>
        <v>1.859791361358252</v>
      </c>
      <c r="J197">
        <v>92.050003051757798</v>
      </c>
      <c r="K197">
        <v>28367200</v>
      </c>
    </row>
    <row r="198" spans="1:11" x14ac:dyDescent="0.3">
      <c r="A198" t="s">
        <v>11</v>
      </c>
      <c r="B198" s="1">
        <v>44979</v>
      </c>
      <c r="C198">
        <v>91.933998107910099</v>
      </c>
      <c r="D198">
        <v>92.360000610351506</v>
      </c>
      <c r="E198">
        <v>90.870002746582003</v>
      </c>
      <c r="F198">
        <v>91.800003051757798</v>
      </c>
      <c r="G198" s="2">
        <f t="shared" si="9"/>
        <v>-7.9521060203234448E-3</v>
      </c>
      <c r="H198" s="2">
        <f t="shared" si="7"/>
        <v>94.263999938964815</v>
      </c>
      <c r="I198" s="4">
        <f t="shared" si="8"/>
        <v>2.3141130430543631</v>
      </c>
      <c r="J198">
        <v>91.800003051757798</v>
      </c>
      <c r="K198">
        <v>29891100</v>
      </c>
    </row>
    <row r="199" spans="1:11" x14ac:dyDescent="0.3">
      <c r="A199" t="s">
        <v>11</v>
      </c>
      <c r="B199" s="1">
        <v>44980</v>
      </c>
      <c r="C199">
        <v>92.129997253417898</v>
      </c>
      <c r="D199">
        <v>92.129997253417898</v>
      </c>
      <c r="E199">
        <v>90.010002136230398</v>
      </c>
      <c r="F199">
        <v>91.069999694824205</v>
      </c>
      <c r="G199" s="2">
        <f t="shared" si="9"/>
        <v>-1.8886584237035677E-2</v>
      </c>
      <c r="H199" s="2">
        <f t="shared" ref="H199:H249" si="10">IF(A199=A195, AVERAGE(F195:F199), "")</f>
        <v>93.058000183105449</v>
      </c>
      <c r="I199" s="4">
        <f t="shared" ref="I199:I249" si="11">IF(A199=A195, STDEV(F195:F199), "")</f>
        <v>2.0190993980383101</v>
      </c>
      <c r="J199">
        <v>91.069999694824205</v>
      </c>
      <c r="K199">
        <v>32423700</v>
      </c>
    </row>
    <row r="200" spans="1:11" x14ac:dyDescent="0.3">
      <c r="A200" t="s">
        <v>11</v>
      </c>
      <c r="B200" s="1">
        <v>44981</v>
      </c>
      <c r="C200">
        <v>89.629997253417898</v>
      </c>
      <c r="D200">
        <v>90.129997253417898</v>
      </c>
      <c r="E200">
        <v>88.860000610351506</v>
      </c>
      <c r="F200">
        <v>89.349998474121094</v>
      </c>
      <c r="G200" s="2">
        <f t="shared" si="9"/>
        <v>8.3939564947751663E-3</v>
      </c>
      <c r="H200" s="2">
        <f t="shared" si="10"/>
        <v>91.772000122070295</v>
      </c>
      <c r="I200" s="4">
        <f t="shared" si="11"/>
        <v>1.8959212172375333</v>
      </c>
      <c r="J200">
        <v>89.349998474121094</v>
      </c>
      <c r="K200">
        <v>31295600</v>
      </c>
    </row>
    <row r="201" spans="1:11" x14ac:dyDescent="0.3">
      <c r="A201" t="s">
        <v>11</v>
      </c>
      <c r="B201" s="1">
        <v>44984</v>
      </c>
      <c r="C201">
        <v>90.089996337890597</v>
      </c>
      <c r="D201">
        <v>90.449996948242102</v>
      </c>
      <c r="E201">
        <v>89.610000610351506</v>
      </c>
      <c r="F201">
        <v>90.099998474121094</v>
      </c>
      <c r="G201" s="2">
        <f t="shared" si="9"/>
        <v>2.2198066706310845E-3</v>
      </c>
      <c r="H201" s="2">
        <f t="shared" si="10"/>
        <v>90.874000549316392</v>
      </c>
      <c r="I201" s="4">
        <f t="shared" si="11"/>
        <v>1.1402345946034738</v>
      </c>
      <c r="J201">
        <v>90.099998474121094</v>
      </c>
      <c r="K201">
        <v>22724300</v>
      </c>
    </row>
    <row r="202" spans="1:11" x14ac:dyDescent="0.3">
      <c r="A202" t="s">
        <v>11</v>
      </c>
      <c r="B202" s="1">
        <v>44985</v>
      </c>
      <c r="C202">
        <v>89.540000915527301</v>
      </c>
      <c r="D202">
        <v>91.449996948242102</v>
      </c>
      <c r="E202">
        <v>89.519996643066406</v>
      </c>
      <c r="F202">
        <v>90.300003051757798</v>
      </c>
      <c r="G202" s="2">
        <f t="shared" si="9"/>
        <v>2.3255711780234708E-3</v>
      </c>
      <c r="H202" s="2">
        <f t="shared" si="10"/>
        <v>90.524000549316412</v>
      </c>
      <c r="I202" s="4">
        <f t="shared" si="11"/>
        <v>0.94001741531437744</v>
      </c>
      <c r="J202">
        <v>90.300003051757798</v>
      </c>
      <c r="K202">
        <v>30546900</v>
      </c>
    </row>
    <row r="203" spans="1:11" x14ac:dyDescent="0.3">
      <c r="A203" t="s">
        <v>11</v>
      </c>
      <c r="B203" s="1">
        <v>44986</v>
      </c>
      <c r="C203">
        <v>90.160003662109304</v>
      </c>
      <c r="D203">
        <v>91.199996948242102</v>
      </c>
      <c r="E203">
        <v>89.849998474121094</v>
      </c>
      <c r="F203">
        <v>90.510002136230398</v>
      </c>
      <c r="G203" s="2">
        <f t="shared" si="9"/>
        <v>1.988725422472145E-2</v>
      </c>
      <c r="H203" s="2">
        <f t="shared" si="10"/>
        <v>90.266000366210932</v>
      </c>
      <c r="I203" s="4">
        <f t="shared" si="11"/>
        <v>0.62724079532847554</v>
      </c>
      <c r="J203">
        <v>90.510002136230398</v>
      </c>
      <c r="K203">
        <v>26323900</v>
      </c>
    </row>
    <row r="204" spans="1:11" x14ac:dyDescent="0.3">
      <c r="A204" t="s">
        <v>11</v>
      </c>
      <c r="B204" s="1">
        <v>44987</v>
      </c>
      <c r="C204">
        <v>89.860000610351506</v>
      </c>
      <c r="D204">
        <v>92.480003356933594</v>
      </c>
      <c r="E204">
        <v>89.769996643066406</v>
      </c>
      <c r="F204">
        <v>92.309997558593693</v>
      </c>
      <c r="G204" s="2">
        <f t="shared" si="9"/>
        <v>1.8524527458548493E-2</v>
      </c>
      <c r="H204" s="2">
        <f t="shared" si="10"/>
        <v>90.513999938964815</v>
      </c>
      <c r="I204" s="4">
        <f t="shared" si="11"/>
        <v>1.0951843135888895</v>
      </c>
      <c r="J204">
        <v>92.309997558593693</v>
      </c>
      <c r="K204">
        <v>23328600</v>
      </c>
    </row>
    <row r="205" spans="1:11" x14ac:dyDescent="0.3">
      <c r="A205" t="s">
        <v>11</v>
      </c>
      <c r="B205" s="1">
        <v>44988</v>
      </c>
      <c r="C205">
        <v>92.739997863769503</v>
      </c>
      <c r="D205">
        <v>94.110000610351506</v>
      </c>
      <c r="E205">
        <v>92.660003662109304</v>
      </c>
      <c r="F205">
        <v>94.019996643066406</v>
      </c>
      <c r="G205" s="2">
        <f t="shared" si="9"/>
        <v>1.6592270194504842E-2</v>
      </c>
      <c r="H205" s="2">
        <f t="shared" si="10"/>
        <v>91.447999572753886</v>
      </c>
      <c r="I205" s="4">
        <f t="shared" si="11"/>
        <v>1.6861977658586673</v>
      </c>
      <c r="J205">
        <v>94.019996643066406</v>
      </c>
      <c r="K205">
        <v>30242500</v>
      </c>
    </row>
    <row r="206" spans="1:11" x14ac:dyDescent="0.3">
      <c r="A206" t="s">
        <v>11</v>
      </c>
      <c r="B206" s="1">
        <v>44991</v>
      </c>
      <c r="C206">
        <v>94.360000610351506</v>
      </c>
      <c r="D206">
        <v>96.300003051757798</v>
      </c>
      <c r="E206">
        <v>94.300003051757798</v>
      </c>
      <c r="F206">
        <v>95.580001831054602</v>
      </c>
      <c r="G206" s="2">
        <f t="shared" si="9"/>
        <v>-1.4752078207757306E-2</v>
      </c>
      <c r="H206" s="2">
        <f t="shared" si="10"/>
        <v>92.544000244140577</v>
      </c>
      <c r="I206" s="4">
        <f t="shared" si="11"/>
        <v>2.2706441797777139</v>
      </c>
      <c r="J206">
        <v>95.580001831054602</v>
      </c>
      <c r="K206">
        <v>28288200</v>
      </c>
    </row>
    <row r="207" spans="1:11" x14ac:dyDescent="0.3">
      <c r="A207" t="s">
        <v>11</v>
      </c>
      <c r="B207" s="1">
        <v>44992</v>
      </c>
      <c r="C207">
        <v>95.419998168945298</v>
      </c>
      <c r="D207">
        <v>96.089996337890597</v>
      </c>
      <c r="E207">
        <v>93.844001770019503</v>
      </c>
      <c r="F207">
        <v>94.169998168945298</v>
      </c>
      <c r="G207" s="2">
        <f t="shared" si="9"/>
        <v>5.0972004488357312E-3</v>
      </c>
      <c r="H207" s="2">
        <f t="shared" si="10"/>
        <v>93.317999267578074</v>
      </c>
      <c r="I207" s="4">
        <f t="shared" si="11"/>
        <v>1.9516834640426495</v>
      </c>
      <c r="J207">
        <v>94.169998168945298</v>
      </c>
      <c r="K207">
        <v>24101500</v>
      </c>
    </row>
    <row r="208" spans="1:11" x14ac:dyDescent="0.3">
      <c r="A208" t="s">
        <v>11</v>
      </c>
      <c r="B208" s="1">
        <v>44993</v>
      </c>
      <c r="C208">
        <v>94.404998779296804</v>
      </c>
      <c r="D208">
        <v>96.239997863769503</v>
      </c>
      <c r="E208">
        <v>94.404998779296804</v>
      </c>
      <c r="F208">
        <v>94.650001525878906</v>
      </c>
      <c r="G208" s="2">
        <f t="shared" si="9"/>
        <v>-2.1024805406109827E-2</v>
      </c>
      <c r="H208" s="2">
        <f t="shared" si="10"/>
        <v>94.145999145507787</v>
      </c>
      <c r="I208" s="4">
        <f t="shared" si="11"/>
        <v>1.1934965974473648</v>
      </c>
      <c r="J208">
        <v>94.650001525878906</v>
      </c>
      <c r="K208">
        <v>25395200</v>
      </c>
    </row>
    <row r="209" spans="1:11" x14ac:dyDescent="0.3">
      <c r="A209" t="s">
        <v>11</v>
      </c>
      <c r="B209" s="1">
        <v>44994</v>
      </c>
      <c r="C209">
        <v>94.489997863769503</v>
      </c>
      <c r="D209">
        <v>95.919998168945298</v>
      </c>
      <c r="E209">
        <v>92.355003356933594</v>
      </c>
      <c r="F209">
        <v>92.660003662109304</v>
      </c>
      <c r="G209" s="2">
        <f t="shared" si="9"/>
        <v>-1.7807052241177797E-2</v>
      </c>
      <c r="H209" s="2">
        <f t="shared" si="10"/>
        <v>94.216000366210906</v>
      </c>
      <c r="I209" s="4">
        <f t="shared" si="11"/>
        <v>1.0618988190387699</v>
      </c>
      <c r="J209">
        <v>92.660003662109304</v>
      </c>
      <c r="K209">
        <v>24438900</v>
      </c>
    </row>
    <row r="210" spans="1:11" x14ac:dyDescent="0.3">
      <c r="A210" t="s">
        <v>11</v>
      </c>
      <c r="B210" s="1">
        <v>44995</v>
      </c>
      <c r="C210">
        <v>92.5</v>
      </c>
      <c r="D210">
        <v>93.180000305175696</v>
      </c>
      <c r="E210">
        <v>90.800003051757798</v>
      </c>
      <c r="F210">
        <v>91.010002136230398</v>
      </c>
      <c r="G210" s="2">
        <f t="shared" si="9"/>
        <v>7.1420888981623869E-3</v>
      </c>
      <c r="H210" s="2">
        <f t="shared" si="10"/>
        <v>93.61400146484371</v>
      </c>
      <c r="I210" s="4">
        <f t="shared" si="11"/>
        <v>1.7985070344885212</v>
      </c>
      <c r="J210">
        <v>91.010002136230398</v>
      </c>
      <c r="K210">
        <v>32850100</v>
      </c>
    </row>
    <row r="211" spans="1:11" x14ac:dyDescent="0.3">
      <c r="A211" t="s">
        <v>11</v>
      </c>
      <c r="B211" s="1">
        <v>44998</v>
      </c>
      <c r="C211">
        <v>90.565002441406193</v>
      </c>
      <c r="D211">
        <v>93.080001831054602</v>
      </c>
      <c r="E211">
        <v>89.940002441406193</v>
      </c>
      <c r="F211">
        <v>91.660003662109304</v>
      </c>
      <c r="G211" s="2">
        <f t="shared" si="9"/>
        <v>2.825655939790625E-2</v>
      </c>
      <c r="H211" s="2">
        <f t="shared" si="10"/>
        <v>92.830001831054659</v>
      </c>
      <c r="I211" s="4">
        <f t="shared" si="11"/>
        <v>1.5666990024140994</v>
      </c>
      <c r="J211">
        <v>91.660003662109304</v>
      </c>
      <c r="K211">
        <v>31508600</v>
      </c>
    </row>
    <row r="212" spans="1:11" x14ac:dyDescent="0.3">
      <c r="A212" t="s">
        <v>11</v>
      </c>
      <c r="B212" s="1">
        <v>44999</v>
      </c>
      <c r="C212">
        <v>93.069999694824205</v>
      </c>
      <c r="D212">
        <v>94.830001831054602</v>
      </c>
      <c r="E212">
        <v>92.779998779296804</v>
      </c>
      <c r="F212">
        <v>94.25</v>
      </c>
      <c r="G212" s="2">
        <f t="shared" si="9"/>
        <v>2.4403215403265763E-2</v>
      </c>
      <c r="H212" s="2">
        <f t="shared" si="10"/>
        <v>92.846002197265591</v>
      </c>
      <c r="I212" s="4">
        <f t="shared" si="11"/>
        <v>1.5841170736655417</v>
      </c>
      <c r="J212">
        <v>94.25</v>
      </c>
      <c r="K212">
        <v>32303900</v>
      </c>
    </row>
    <row r="213" spans="1:11" x14ac:dyDescent="0.3">
      <c r="A213" t="s">
        <v>11</v>
      </c>
      <c r="B213" s="1">
        <v>45000</v>
      </c>
      <c r="C213">
        <v>93.540000915527301</v>
      </c>
      <c r="D213">
        <v>97.25</v>
      </c>
      <c r="E213">
        <v>93.040000915527301</v>
      </c>
      <c r="F213">
        <v>96.550003051757798</v>
      </c>
      <c r="G213" s="2">
        <f t="shared" si="9"/>
        <v>4.68150854500042E-2</v>
      </c>
      <c r="H213" s="2">
        <f t="shared" si="10"/>
        <v>93.226002502441361</v>
      </c>
      <c r="I213" s="4">
        <f t="shared" si="11"/>
        <v>2.223787040449694</v>
      </c>
      <c r="J213">
        <v>96.550003051757798</v>
      </c>
      <c r="K213">
        <v>38367300</v>
      </c>
    </row>
    <row r="214" spans="1:11" x14ac:dyDescent="0.3">
      <c r="A214" t="s">
        <v>11</v>
      </c>
      <c r="B214" s="1">
        <v>45001</v>
      </c>
      <c r="C214">
        <v>96.569999694824205</v>
      </c>
      <c r="D214">
        <v>101.970001220703</v>
      </c>
      <c r="E214">
        <v>95.870002746582003</v>
      </c>
      <c r="F214">
        <v>101.06999969482401</v>
      </c>
      <c r="G214" s="2">
        <f t="shared" si="9"/>
        <v>1.3752838565796311E-2</v>
      </c>
      <c r="H214" s="2">
        <f t="shared" si="10"/>
        <v>94.908001708984301</v>
      </c>
      <c r="I214" s="4">
        <f t="shared" si="11"/>
        <v>4.0878859395133018</v>
      </c>
      <c r="J214">
        <v>101.06999969482401</v>
      </c>
      <c r="K214">
        <v>54499500</v>
      </c>
    </row>
    <row r="215" spans="1:11" x14ac:dyDescent="0.3">
      <c r="A215" t="s">
        <v>11</v>
      </c>
      <c r="B215" s="1">
        <v>45002</v>
      </c>
      <c r="C215">
        <v>100.83999633789</v>
      </c>
      <c r="D215">
        <v>103.48999786376901</v>
      </c>
      <c r="E215">
        <v>100.75</v>
      </c>
      <c r="F215">
        <v>102.459999084472</v>
      </c>
      <c r="G215" s="2">
        <f t="shared" si="9"/>
        <v>-5.1727384738706793E-3</v>
      </c>
      <c r="H215" s="2">
        <f t="shared" si="10"/>
        <v>97.198001098632631</v>
      </c>
      <c r="I215" s="4">
        <f t="shared" si="11"/>
        <v>4.540402611143568</v>
      </c>
      <c r="J215">
        <v>102.459999084472</v>
      </c>
      <c r="K215">
        <v>76140300</v>
      </c>
    </row>
    <row r="216" spans="1:11" x14ac:dyDescent="0.3">
      <c r="A216" t="s">
        <v>11</v>
      </c>
      <c r="B216" s="1">
        <v>45005</v>
      </c>
      <c r="C216">
        <v>101.059997558593</v>
      </c>
      <c r="D216">
        <v>102.58000183105401</v>
      </c>
      <c r="E216">
        <v>100.790000915527</v>
      </c>
      <c r="F216">
        <v>101.930000305175</v>
      </c>
      <c r="G216" s="2">
        <f t="shared" si="9"/>
        <v>3.8359619552718563E-2</v>
      </c>
      <c r="H216" s="2">
        <f t="shared" si="10"/>
        <v>99.252000427245747</v>
      </c>
      <c r="I216" s="4">
        <f t="shared" si="11"/>
        <v>3.6431050684539703</v>
      </c>
      <c r="J216">
        <v>101.930000305175</v>
      </c>
      <c r="K216">
        <v>26033900</v>
      </c>
    </row>
    <row r="217" spans="1:11" x14ac:dyDescent="0.3">
      <c r="A217" t="s">
        <v>11</v>
      </c>
      <c r="B217" s="1">
        <v>45006</v>
      </c>
      <c r="C217">
        <v>101.980003356933</v>
      </c>
      <c r="D217">
        <v>105.959999084472</v>
      </c>
      <c r="E217">
        <v>101.86000061035099</v>
      </c>
      <c r="F217">
        <v>105.83999633789</v>
      </c>
      <c r="G217" s="2">
        <f t="shared" si="9"/>
        <v>-1.5306076844666852E-2</v>
      </c>
      <c r="H217" s="2">
        <f t="shared" si="10"/>
        <v>101.56999969482375</v>
      </c>
      <c r="I217" s="4">
        <f t="shared" si="11"/>
        <v>3.3393463799528851</v>
      </c>
      <c r="J217">
        <v>105.83999633789</v>
      </c>
      <c r="K217">
        <v>33122800</v>
      </c>
    </row>
    <row r="218" spans="1:11" x14ac:dyDescent="0.3">
      <c r="A218" t="s">
        <v>11</v>
      </c>
      <c r="B218" s="1">
        <v>45007</v>
      </c>
      <c r="C218">
        <v>105.139999389648</v>
      </c>
      <c r="D218">
        <v>107.51000213623</v>
      </c>
      <c r="E218">
        <v>104.209999084472</v>
      </c>
      <c r="F218">
        <v>104.220001220703</v>
      </c>
      <c r="G218" s="2">
        <f t="shared" si="9"/>
        <v>1.9573986678497204E-2</v>
      </c>
      <c r="H218" s="2">
        <f t="shared" si="10"/>
        <v>103.1039993286128</v>
      </c>
      <c r="I218" s="4">
        <f t="shared" si="11"/>
        <v>1.914504138782543</v>
      </c>
      <c r="J218">
        <v>104.220001220703</v>
      </c>
      <c r="K218">
        <v>32336900</v>
      </c>
    </row>
    <row r="219" spans="1:11" x14ac:dyDescent="0.3">
      <c r="A219" t="s">
        <v>11</v>
      </c>
      <c r="B219" s="1">
        <v>45008</v>
      </c>
      <c r="C219">
        <v>105.889999389648</v>
      </c>
      <c r="D219">
        <v>107.10099792480401</v>
      </c>
      <c r="E219">
        <v>105.41000366210901</v>
      </c>
      <c r="F219">
        <v>106.26000213623</v>
      </c>
      <c r="G219" s="2">
        <f t="shared" si="9"/>
        <v>-1.8822188369673502E-3</v>
      </c>
      <c r="H219" s="2">
        <f t="shared" si="10"/>
        <v>104.14199981689401</v>
      </c>
      <c r="I219" s="4">
        <f t="shared" si="11"/>
        <v>1.9427608275812414</v>
      </c>
      <c r="J219">
        <v>106.26000213623</v>
      </c>
      <c r="K219">
        <v>31385800</v>
      </c>
    </row>
    <row r="220" spans="1:11" x14ac:dyDescent="0.3">
      <c r="A220" t="s">
        <v>11</v>
      </c>
      <c r="B220" s="1">
        <v>45009</v>
      </c>
      <c r="C220">
        <v>105.73999786376901</v>
      </c>
      <c r="D220">
        <v>106.16000366210901</v>
      </c>
      <c r="E220">
        <v>104.73999786376901</v>
      </c>
      <c r="F220">
        <v>106.059997558593</v>
      </c>
      <c r="G220" s="2">
        <f t="shared" si="9"/>
        <v>-2.8285876570406723E-2</v>
      </c>
      <c r="H220" s="2">
        <f t="shared" si="10"/>
        <v>104.86199951171821</v>
      </c>
      <c r="I220" s="4">
        <f t="shared" si="11"/>
        <v>1.8272157510332638</v>
      </c>
      <c r="J220">
        <v>106.059997558593</v>
      </c>
      <c r="K220">
        <v>25245000</v>
      </c>
    </row>
    <row r="221" spans="1:11" x14ac:dyDescent="0.3">
      <c r="A221" t="s">
        <v>11</v>
      </c>
      <c r="B221" s="1">
        <v>45012</v>
      </c>
      <c r="C221">
        <v>105.31999969482401</v>
      </c>
      <c r="D221">
        <v>105.400001525878</v>
      </c>
      <c r="E221">
        <v>102.629997253417</v>
      </c>
      <c r="F221">
        <v>103.059997558593</v>
      </c>
      <c r="G221" s="2">
        <f t="shared" si="9"/>
        <v>-1.6495216267354351E-2</v>
      </c>
      <c r="H221" s="2">
        <f t="shared" si="10"/>
        <v>105.0879989624018</v>
      </c>
      <c r="I221" s="4">
        <f t="shared" si="11"/>
        <v>1.3919485026974661</v>
      </c>
      <c r="J221">
        <v>103.059997558593</v>
      </c>
      <c r="K221">
        <v>25393400</v>
      </c>
    </row>
    <row r="222" spans="1:11" x14ac:dyDescent="0.3">
      <c r="A222" t="s">
        <v>11</v>
      </c>
      <c r="B222" s="1">
        <v>45013</v>
      </c>
      <c r="C222">
        <v>103</v>
      </c>
      <c r="D222">
        <v>103</v>
      </c>
      <c r="E222">
        <v>100.27999877929599</v>
      </c>
      <c r="F222">
        <v>101.36000061035099</v>
      </c>
      <c r="G222" s="2">
        <f t="shared" si="9"/>
        <v>5.3275543831425073E-3</v>
      </c>
      <c r="H222" s="2">
        <f t="shared" si="10"/>
        <v>104.19199981689398</v>
      </c>
      <c r="I222" s="4">
        <f t="shared" si="11"/>
        <v>2.065700961722539</v>
      </c>
      <c r="J222">
        <v>101.36000061035099</v>
      </c>
      <c r="K222">
        <v>24913500</v>
      </c>
    </row>
    <row r="223" spans="1:11" x14ac:dyDescent="0.3">
      <c r="A223" t="s">
        <v>11</v>
      </c>
      <c r="B223" s="1">
        <v>45014</v>
      </c>
      <c r="C223">
        <v>102.720001220703</v>
      </c>
      <c r="D223">
        <v>102.81999969482401</v>
      </c>
      <c r="E223">
        <v>101.02999877929599</v>
      </c>
      <c r="F223">
        <v>101.900001525878</v>
      </c>
      <c r="G223" s="2">
        <f t="shared" si="9"/>
        <v>-5.6918726434630812E-3</v>
      </c>
      <c r="H223" s="2">
        <f t="shared" si="10"/>
        <v>103.72799987792901</v>
      </c>
      <c r="I223" s="4">
        <f t="shared" si="11"/>
        <v>2.3045864175407407</v>
      </c>
      <c r="J223">
        <v>101.900001525878</v>
      </c>
      <c r="K223">
        <v>26148300</v>
      </c>
    </row>
    <row r="224" spans="1:11" x14ac:dyDescent="0.3">
      <c r="A224" t="s">
        <v>11</v>
      </c>
      <c r="B224" s="1">
        <v>45015</v>
      </c>
      <c r="C224">
        <v>101.44000244140599</v>
      </c>
      <c r="D224">
        <v>101.61000061035099</v>
      </c>
      <c r="E224">
        <v>100.290000915527</v>
      </c>
      <c r="F224">
        <v>101.31999969482401</v>
      </c>
      <c r="G224" s="2">
        <f t="shared" si="9"/>
        <v>2.6450851887565727E-2</v>
      </c>
      <c r="H224" s="2">
        <f t="shared" si="10"/>
        <v>102.73999938964781</v>
      </c>
      <c r="I224" s="4">
        <f t="shared" si="11"/>
        <v>1.9843877421780447</v>
      </c>
      <c r="J224">
        <v>101.31999969482401</v>
      </c>
      <c r="K224">
        <v>25009800</v>
      </c>
    </row>
    <row r="225" spans="1:11" x14ac:dyDescent="0.3">
      <c r="A225" t="s">
        <v>11</v>
      </c>
      <c r="B225" s="1">
        <v>45016</v>
      </c>
      <c r="C225">
        <v>101.709999084472</v>
      </c>
      <c r="D225">
        <v>104.19000244140599</v>
      </c>
      <c r="E225">
        <v>101.44000244140599</v>
      </c>
      <c r="F225">
        <v>104</v>
      </c>
      <c r="G225" s="2">
        <f t="shared" si="9"/>
        <v>8.7500352125865922E-3</v>
      </c>
      <c r="H225" s="2">
        <f t="shared" si="10"/>
        <v>102.3279998779292</v>
      </c>
      <c r="I225" s="4">
        <f t="shared" si="11"/>
        <v>1.1691529576185211</v>
      </c>
      <c r="J225">
        <v>104</v>
      </c>
      <c r="K225">
        <v>28086500</v>
      </c>
    </row>
    <row r="226" spans="1:11" x14ac:dyDescent="0.3">
      <c r="A226" t="s">
        <v>11</v>
      </c>
      <c r="B226" s="1">
        <v>45019</v>
      </c>
      <c r="C226">
        <v>102.669998168945</v>
      </c>
      <c r="D226">
        <v>104.949996948242</v>
      </c>
      <c r="E226">
        <v>102.379997253417</v>
      </c>
      <c r="F226">
        <v>104.91000366210901</v>
      </c>
      <c r="G226" s="2">
        <f t="shared" si="9"/>
        <v>2.0017069597038245E-3</v>
      </c>
      <c r="H226" s="2">
        <f t="shared" si="10"/>
        <v>102.6980010986324</v>
      </c>
      <c r="I226" s="4">
        <f t="shared" si="11"/>
        <v>1.6518242168618389</v>
      </c>
      <c r="J226">
        <v>104.91000366210901</v>
      </c>
      <c r="K226">
        <v>20719900</v>
      </c>
    </row>
    <row r="227" spans="1:11" x14ac:dyDescent="0.3">
      <c r="A227" t="s">
        <v>11</v>
      </c>
      <c r="B227" s="1">
        <v>45020</v>
      </c>
      <c r="C227">
        <v>104.83999633789</v>
      </c>
      <c r="D227">
        <v>106.09999847412099</v>
      </c>
      <c r="E227">
        <v>104.59999847412099</v>
      </c>
      <c r="F227">
        <v>105.120002746582</v>
      </c>
      <c r="G227" s="2">
        <f t="shared" si="9"/>
        <v>-1.6172545081628419E-3</v>
      </c>
      <c r="H227" s="2">
        <f t="shared" si="10"/>
        <v>103.4500015258786</v>
      </c>
      <c r="I227" s="4">
        <f t="shared" si="11"/>
        <v>1.743732809003566</v>
      </c>
      <c r="J227">
        <v>105.120002746582</v>
      </c>
      <c r="K227">
        <v>20377200</v>
      </c>
    </row>
    <row r="228" spans="1:11" x14ac:dyDescent="0.3">
      <c r="A228" t="s">
        <v>11</v>
      </c>
      <c r="B228" s="1">
        <v>45021</v>
      </c>
      <c r="C228">
        <v>106.120002746582</v>
      </c>
      <c r="D228">
        <v>106.540000915527</v>
      </c>
      <c r="E228">
        <v>104.101997375488</v>
      </c>
      <c r="F228">
        <v>104.949996948242</v>
      </c>
      <c r="G228" s="2">
        <f t="shared" si="9"/>
        <v>3.7637014697427869E-2</v>
      </c>
      <c r="H228" s="2">
        <f t="shared" si="10"/>
        <v>104.06000061035141</v>
      </c>
      <c r="I228" s="4">
        <f t="shared" si="11"/>
        <v>1.5929067995807906</v>
      </c>
      <c r="J228">
        <v>104.949996948242</v>
      </c>
      <c r="K228">
        <v>21864200</v>
      </c>
    </row>
    <row r="229" spans="1:11" x14ac:dyDescent="0.3">
      <c r="A229" t="s">
        <v>11</v>
      </c>
      <c r="B229" s="1">
        <v>45022</v>
      </c>
      <c r="C229">
        <v>105.76999664306599</v>
      </c>
      <c r="D229">
        <v>109.629997253417</v>
      </c>
      <c r="E229">
        <v>104.81500244140599</v>
      </c>
      <c r="F229">
        <v>108.900001525878</v>
      </c>
      <c r="G229" s="2">
        <f t="shared" si="9"/>
        <v>-1.790637787247976E-2</v>
      </c>
      <c r="H229" s="2">
        <f t="shared" si="10"/>
        <v>105.5760009765622</v>
      </c>
      <c r="I229" s="4">
        <f t="shared" si="11"/>
        <v>1.9089346886453307</v>
      </c>
      <c r="J229">
        <v>108.900001525878</v>
      </c>
      <c r="K229">
        <v>34684200</v>
      </c>
    </row>
    <row r="230" spans="1:11" x14ac:dyDescent="0.3">
      <c r="A230" t="s">
        <v>11</v>
      </c>
      <c r="B230" s="1">
        <v>45026</v>
      </c>
      <c r="C230">
        <v>107.389999389648</v>
      </c>
      <c r="D230">
        <v>107.970001220703</v>
      </c>
      <c r="E230">
        <v>105.59999847412099</v>
      </c>
      <c r="F230">
        <v>106.949996948242</v>
      </c>
      <c r="G230" s="2">
        <f t="shared" si="9"/>
        <v>-7.7605818171427544E-3</v>
      </c>
      <c r="H230" s="2">
        <f t="shared" si="10"/>
        <v>106.1660003662106</v>
      </c>
      <c r="I230" s="4">
        <f t="shared" si="11"/>
        <v>1.7492652768515173</v>
      </c>
      <c r="J230">
        <v>106.949996948242</v>
      </c>
      <c r="K230">
        <v>19741500</v>
      </c>
    </row>
    <row r="231" spans="1:11" x14ac:dyDescent="0.3">
      <c r="A231" t="s">
        <v>11</v>
      </c>
      <c r="B231" s="1">
        <v>45027</v>
      </c>
      <c r="C231">
        <v>106.919998168945</v>
      </c>
      <c r="D231">
        <v>107.220001220703</v>
      </c>
      <c r="E231">
        <v>105.27999877929599</v>
      </c>
      <c r="F231">
        <v>106.120002746582</v>
      </c>
      <c r="G231" s="2">
        <f t="shared" si="9"/>
        <v>-8.4809791046485221E-3</v>
      </c>
      <c r="H231" s="2">
        <f t="shared" si="10"/>
        <v>106.4080001831052</v>
      </c>
      <c r="I231" s="4">
        <f t="shared" si="11"/>
        <v>1.6102394650024876</v>
      </c>
      <c r="J231">
        <v>106.120002746582</v>
      </c>
      <c r="K231">
        <v>18721300</v>
      </c>
    </row>
    <row r="232" spans="1:11" x14ac:dyDescent="0.3">
      <c r="A232" t="s">
        <v>11</v>
      </c>
      <c r="B232" s="1">
        <v>45028</v>
      </c>
      <c r="C232">
        <v>107.389999389648</v>
      </c>
      <c r="D232">
        <v>107.58699798583901</v>
      </c>
      <c r="E232">
        <v>104.970001220703</v>
      </c>
      <c r="F232">
        <v>105.220001220703</v>
      </c>
      <c r="G232" s="2">
        <f t="shared" si="9"/>
        <v>2.822658416885308E-2</v>
      </c>
      <c r="H232" s="2">
        <f t="shared" si="10"/>
        <v>106.42799987792941</v>
      </c>
      <c r="I232" s="4">
        <f t="shared" si="11"/>
        <v>1.5907457950454456</v>
      </c>
      <c r="J232">
        <v>105.220001220703</v>
      </c>
      <c r="K232">
        <v>22761600</v>
      </c>
    </row>
    <row r="233" spans="1:11" x14ac:dyDescent="0.3">
      <c r="A233" t="s">
        <v>11</v>
      </c>
      <c r="B233" s="1">
        <v>45029</v>
      </c>
      <c r="C233">
        <v>106.470001220703</v>
      </c>
      <c r="D233">
        <v>108.264999389648</v>
      </c>
      <c r="E233">
        <v>106.44000244140599</v>
      </c>
      <c r="F233">
        <v>108.19000244140599</v>
      </c>
      <c r="G233" s="2">
        <f t="shared" si="9"/>
        <v>1.1738576711409343E-2</v>
      </c>
      <c r="H233" s="2">
        <f t="shared" si="10"/>
        <v>107.0760009765622</v>
      </c>
      <c r="I233" s="4">
        <f t="shared" si="11"/>
        <v>1.4952024939958848</v>
      </c>
      <c r="J233">
        <v>108.19000244140599</v>
      </c>
      <c r="K233">
        <v>21650700</v>
      </c>
    </row>
    <row r="234" spans="1:11" x14ac:dyDescent="0.3">
      <c r="A234" t="s">
        <v>11</v>
      </c>
      <c r="B234" s="1">
        <v>45030</v>
      </c>
      <c r="C234">
        <v>107.69000244140599</v>
      </c>
      <c r="D234">
        <v>109.58000183105401</v>
      </c>
      <c r="E234">
        <v>107.58999633789</v>
      </c>
      <c r="F234">
        <v>109.459999084472</v>
      </c>
      <c r="G234" s="2">
        <f t="shared" si="9"/>
        <v>-2.7772710953350058E-2</v>
      </c>
      <c r="H234" s="2">
        <f t="shared" si="10"/>
        <v>107.18800048828101</v>
      </c>
      <c r="I234" s="4">
        <f t="shared" si="11"/>
        <v>1.6760274098066683</v>
      </c>
      <c r="J234">
        <v>109.459999084472</v>
      </c>
      <c r="K234">
        <v>20745400</v>
      </c>
    </row>
    <row r="235" spans="1:11" x14ac:dyDescent="0.3">
      <c r="A235" t="s">
        <v>11</v>
      </c>
      <c r="B235" s="1">
        <v>45033</v>
      </c>
      <c r="C235">
        <v>105.430000305175</v>
      </c>
      <c r="D235">
        <v>106.709999084472</v>
      </c>
      <c r="E235">
        <v>105.31999969482401</v>
      </c>
      <c r="F235">
        <v>106.419998168945</v>
      </c>
      <c r="G235" s="2">
        <f t="shared" si="9"/>
        <v>-1.2215706114739962E-2</v>
      </c>
      <c r="H235" s="2">
        <f t="shared" si="10"/>
        <v>107.08200073242158</v>
      </c>
      <c r="I235" s="4">
        <f t="shared" si="11"/>
        <v>1.7112330094055073</v>
      </c>
      <c r="J235">
        <v>106.419998168945</v>
      </c>
      <c r="K235">
        <v>29043400</v>
      </c>
    </row>
    <row r="236" spans="1:11" x14ac:dyDescent="0.3">
      <c r="A236" t="s">
        <v>11</v>
      </c>
      <c r="B236" s="1">
        <v>45034</v>
      </c>
      <c r="C236">
        <v>107</v>
      </c>
      <c r="D236">
        <v>107.050003051757</v>
      </c>
      <c r="E236">
        <v>104.77999877929599</v>
      </c>
      <c r="F236">
        <v>105.120002746582</v>
      </c>
      <c r="G236" s="2">
        <f t="shared" si="9"/>
        <v>-9.513517970228593E-4</v>
      </c>
      <c r="H236" s="2">
        <f t="shared" si="10"/>
        <v>106.8820007324216</v>
      </c>
      <c r="I236" s="4">
        <f t="shared" si="11"/>
        <v>1.8998203613496796</v>
      </c>
      <c r="J236">
        <v>105.120002746582</v>
      </c>
      <c r="K236">
        <v>17641400</v>
      </c>
    </row>
    <row r="237" spans="1:11" x14ac:dyDescent="0.3">
      <c r="A237" t="s">
        <v>11</v>
      </c>
      <c r="B237" s="1">
        <v>45035</v>
      </c>
      <c r="C237">
        <v>104.21499633789</v>
      </c>
      <c r="D237">
        <v>105.72499847412099</v>
      </c>
      <c r="E237">
        <v>103.800003051757</v>
      </c>
      <c r="F237">
        <v>105.01999664306599</v>
      </c>
      <c r="G237" s="2">
        <f t="shared" si="9"/>
        <v>8.3794030750438554E-3</v>
      </c>
      <c r="H237" s="2">
        <f t="shared" si="10"/>
        <v>106.84199981689419</v>
      </c>
      <c r="I237" s="4">
        <f t="shared" si="11"/>
        <v>1.9451276376631614</v>
      </c>
      <c r="J237">
        <v>105.01999664306599</v>
      </c>
      <c r="K237">
        <v>16732000</v>
      </c>
    </row>
    <row r="238" spans="1:11" x14ac:dyDescent="0.3">
      <c r="A238" t="s">
        <v>11</v>
      </c>
      <c r="B238" s="1">
        <v>45036</v>
      </c>
      <c r="C238">
        <v>104.650001525878</v>
      </c>
      <c r="D238">
        <v>106.88800048828099</v>
      </c>
      <c r="E238">
        <v>104.639999389648</v>
      </c>
      <c r="F238">
        <v>105.900001525878</v>
      </c>
      <c r="G238" s="2">
        <f t="shared" si="9"/>
        <v>9.4448877118898008E-5</v>
      </c>
      <c r="H238" s="2">
        <f t="shared" si="10"/>
        <v>106.3839996337886</v>
      </c>
      <c r="I238" s="4">
        <f t="shared" si="11"/>
        <v>1.8135266039658218</v>
      </c>
      <c r="J238">
        <v>105.900001525878</v>
      </c>
      <c r="K238">
        <v>22515300</v>
      </c>
    </row>
    <row r="239" spans="1:11" x14ac:dyDescent="0.3">
      <c r="A239" t="s">
        <v>11</v>
      </c>
      <c r="B239" s="1">
        <v>45037</v>
      </c>
      <c r="C239">
        <v>106.08999633789</v>
      </c>
      <c r="D239">
        <v>106.639999389648</v>
      </c>
      <c r="E239">
        <v>105.48500061035099</v>
      </c>
      <c r="F239">
        <v>105.91000366210901</v>
      </c>
      <c r="G239" s="2">
        <f t="shared" si="9"/>
        <v>8.214475376307092E-3</v>
      </c>
      <c r="H239" s="2">
        <f t="shared" si="10"/>
        <v>105.67400054931599</v>
      </c>
      <c r="I239" s="4">
        <f t="shared" si="11"/>
        <v>0.59116855336939689</v>
      </c>
      <c r="J239">
        <v>105.91000366210901</v>
      </c>
      <c r="K239">
        <v>22369800</v>
      </c>
    </row>
    <row r="240" spans="1:11" x14ac:dyDescent="0.3">
      <c r="A240" t="s">
        <v>11</v>
      </c>
      <c r="B240" s="1">
        <v>45040</v>
      </c>
      <c r="C240">
        <v>106.050003051757</v>
      </c>
      <c r="D240">
        <v>107.31999969482401</v>
      </c>
      <c r="E240">
        <v>105.36000061035099</v>
      </c>
      <c r="F240">
        <v>106.77999877929599</v>
      </c>
      <c r="G240" s="2">
        <f t="shared" si="9"/>
        <v>-2.0322140791836661E-2</v>
      </c>
      <c r="H240" s="2">
        <f t="shared" si="10"/>
        <v>105.7460006713862</v>
      </c>
      <c r="I240" s="4">
        <f t="shared" si="11"/>
        <v>0.71391886484172518</v>
      </c>
      <c r="J240">
        <v>106.77999877929599</v>
      </c>
      <c r="K240">
        <v>21410900</v>
      </c>
    </row>
    <row r="241" spans="1:11" x14ac:dyDescent="0.3">
      <c r="A241" t="s">
        <v>11</v>
      </c>
      <c r="B241" s="1">
        <v>45041</v>
      </c>
      <c r="C241">
        <v>106.61000061035099</v>
      </c>
      <c r="D241">
        <v>107.44000244140599</v>
      </c>
      <c r="E241">
        <v>104.559997558593</v>
      </c>
      <c r="F241">
        <v>104.61000061035099</v>
      </c>
      <c r="G241" s="2">
        <f t="shared" si="9"/>
        <v>-1.529525486812388E-3</v>
      </c>
      <c r="H241" s="2">
        <f t="shared" si="10"/>
        <v>105.64400024413999</v>
      </c>
      <c r="I241" s="4">
        <f t="shared" si="11"/>
        <v>0.84931191021443642</v>
      </c>
      <c r="J241">
        <v>104.61000061035099</v>
      </c>
      <c r="K241">
        <v>31408100</v>
      </c>
    </row>
    <row r="242" spans="1:11" x14ac:dyDescent="0.3">
      <c r="A242" t="s">
        <v>11</v>
      </c>
      <c r="B242" s="1">
        <v>45042</v>
      </c>
      <c r="C242">
        <v>105.559997558593</v>
      </c>
      <c r="D242">
        <v>107.01999664306599</v>
      </c>
      <c r="E242">
        <v>103.26999664306599</v>
      </c>
      <c r="F242">
        <v>104.449996948242</v>
      </c>
      <c r="G242" s="2">
        <f t="shared" si="9"/>
        <v>3.7529975230946887E-2</v>
      </c>
      <c r="H242" s="2">
        <f t="shared" si="10"/>
        <v>105.53000030517519</v>
      </c>
      <c r="I242" s="4">
        <f t="shared" si="11"/>
        <v>0.98191220704430104</v>
      </c>
      <c r="J242">
        <v>104.449996948242</v>
      </c>
      <c r="K242">
        <v>37068200</v>
      </c>
    </row>
    <row r="243" spans="1:11" x14ac:dyDescent="0.3">
      <c r="A243" t="s">
        <v>11</v>
      </c>
      <c r="B243" s="1">
        <v>45043</v>
      </c>
      <c r="C243">
        <v>105.230003356933</v>
      </c>
      <c r="D243">
        <v>109.150001525878</v>
      </c>
      <c r="E243">
        <v>104.419998168945</v>
      </c>
      <c r="F243">
        <v>108.370002746582</v>
      </c>
      <c r="G243" s="2">
        <f t="shared" si="9"/>
        <v>-1.3841609493152548E-3</v>
      </c>
      <c r="H243" s="2">
        <f t="shared" si="10"/>
        <v>106.024000549316</v>
      </c>
      <c r="I243" s="4">
        <f t="shared" si="11"/>
        <v>1.6252029171144777</v>
      </c>
      <c r="J243">
        <v>108.370002746582</v>
      </c>
      <c r="K243">
        <v>38235200</v>
      </c>
    </row>
    <row r="244" spans="1:11" x14ac:dyDescent="0.3">
      <c r="A244" t="s">
        <v>11</v>
      </c>
      <c r="B244" s="1">
        <v>45044</v>
      </c>
      <c r="C244">
        <v>107.800003051757</v>
      </c>
      <c r="D244">
        <v>108.290000915527</v>
      </c>
      <c r="E244">
        <v>106.040000915527</v>
      </c>
      <c r="F244">
        <v>108.220001220703</v>
      </c>
      <c r="G244" s="2">
        <f t="shared" si="9"/>
        <v>-4.7126421223272798E-3</v>
      </c>
      <c r="H244" s="2">
        <f t="shared" si="10"/>
        <v>106.48600006103479</v>
      </c>
      <c r="I244" s="4">
        <f t="shared" si="11"/>
        <v>1.8912524951395868</v>
      </c>
      <c r="J244">
        <v>108.220001220703</v>
      </c>
      <c r="K244">
        <v>23957900</v>
      </c>
    </row>
    <row r="245" spans="1:11" x14ac:dyDescent="0.3">
      <c r="A245" t="s">
        <v>11</v>
      </c>
      <c r="B245" s="1">
        <v>45047</v>
      </c>
      <c r="C245">
        <v>107.720001220703</v>
      </c>
      <c r="D245">
        <v>108.680000305175</v>
      </c>
      <c r="E245">
        <v>107.5</v>
      </c>
      <c r="F245">
        <v>107.709999084472</v>
      </c>
      <c r="G245" s="2">
        <f t="shared" si="9"/>
        <v>-1.6061607485320369E-2</v>
      </c>
      <c r="H245" s="2">
        <f t="shared" si="10"/>
        <v>106.67200012206999</v>
      </c>
      <c r="I245" s="4">
        <f t="shared" si="11"/>
        <v>1.9714272907589925</v>
      </c>
      <c r="J245">
        <v>107.709999084472</v>
      </c>
      <c r="K245">
        <v>20926300</v>
      </c>
    </row>
    <row r="246" spans="1:11" x14ac:dyDescent="0.3">
      <c r="A246" t="s">
        <v>11</v>
      </c>
      <c r="B246" s="1">
        <v>45048</v>
      </c>
      <c r="C246">
        <v>107.66000366210901</v>
      </c>
      <c r="D246">
        <v>107.730003356933</v>
      </c>
      <c r="E246">
        <v>104.5</v>
      </c>
      <c r="F246">
        <v>105.980003356933</v>
      </c>
      <c r="G246" s="2">
        <f t="shared" si="9"/>
        <v>1.3209981620541952E-3</v>
      </c>
      <c r="H246" s="2">
        <f t="shared" si="10"/>
        <v>106.9460006713864</v>
      </c>
      <c r="I246" s="4">
        <f t="shared" si="11"/>
        <v>1.6880268275785471</v>
      </c>
      <c r="J246">
        <v>105.980003356933</v>
      </c>
      <c r="K246">
        <v>20343100</v>
      </c>
    </row>
    <row r="247" spans="1:11" x14ac:dyDescent="0.3">
      <c r="A247" t="s">
        <v>11</v>
      </c>
      <c r="B247" s="1">
        <v>45049</v>
      </c>
      <c r="C247">
        <v>106.220001220703</v>
      </c>
      <c r="D247">
        <v>108.129997253417</v>
      </c>
      <c r="E247">
        <v>105.620002746582</v>
      </c>
      <c r="F247">
        <v>106.120002746582</v>
      </c>
      <c r="G247" s="2">
        <f t="shared" si="9"/>
        <v>-8.5752321763797774E-3</v>
      </c>
      <c r="H247" s="2">
        <f t="shared" si="10"/>
        <v>107.28000183105442</v>
      </c>
      <c r="I247" s="4">
        <f t="shared" si="11"/>
        <v>1.1502382791222221</v>
      </c>
      <c r="J247">
        <v>106.120002746582</v>
      </c>
      <c r="K247">
        <v>17116300</v>
      </c>
    </row>
    <row r="248" spans="1:11" x14ac:dyDescent="0.3">
      <c r="A248" t="s">
        <v>11</v>
      </c>
      <c r="B248" s="1">
        <v>45050</v>
      </c>
      <c r="C248">
        <v>106.16000366210901</v>
      </c>
      <c r="D248">
        <v>106.300003051757</v>
      </c>
      <c r="E248">
        <v>104.699996948242</v>
      </c>
      <c r="F248">
        <v>105.209999084472</v>
      </c>
      <c r="G248" s="2">
        <f t="shared" si="9"/>
        <v>9.5522979009922387E-3</v>
      </c>
      <c r="H248" s="2">
        <f t="shared" si="10"/>
        <v>106.64800109863241</v>
      </c>
      <c r="I248" s="4">
        <f t="shared" si="11"/>
        <v>1.2641080987330695</v>
      </c>
      <c r="J248">
        <v>105.209999084472</v>
      </c>
      <c r="K248">
        <v>19780600</v>
      </c>
    </row>
    <row r="249" spans="1:11" x14ac:dyDescent="0.3">
      <c r="A249" t="s">
        <v>11</v>
      </c>
      <c r="B249" s="1">
        <v>45051</v>
      </c>
      <c r="C249">
        <v>105.31999969482401</v>
      </c>
      <c r="D249">
        <v>106.44000244140599</v>
      </c>
      <c r="E249">
        <v>104.738998413085</v>
      </c>
      <c r="F249">
        <v>106.21499633789</v>
      </c>
      <c r="G249" s="2">
        <f t="shared" si="9"/>
        <v>0</v>
      </c>
      <c r="H249" s="2">
        <f t="shared" si="10"/>
        <v>106.24700012206981</v>
      </c>
      <c r="I249" s="4">
        <f t="shared" si="11"/>
        <v>0.90886976021663346</v>
      </c>
      <c r="J249">
        <v>106.21499633789</v>
      </c>
      <c r="K249">
        <v>20705300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Stocks Dashboard</vt:lpstr>
      <vt:lpstr>average closing price per month</vt:lpstr>
      <vt:lpstr>Average Daily Return per Compan</vt:lpstr>
      <vt:lpstr>Average Volatility per Company</vt:lpstr>
      <vt:lpstr>Risk vs Reward</vt:lpstr>
      <vt:lpstr>stocks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Kushi K</dc:creator>
  <cp:lastModifiedBy>Kushi K</cp:lastModifiedBy>
  <dcterms:created xsi:type="dcterms:W3CDTF">2025-10-30T13:13:34Z</dcterms:created>
  <dcterms:modified xsi:type="dcterms:W3CDTF">2025-11-07T16:51:39Z</dcterms:modified>
</cp:coreProperties>
</file>